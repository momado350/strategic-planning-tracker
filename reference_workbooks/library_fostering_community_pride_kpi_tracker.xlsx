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PI Tracker" sheetId="1" state="visible" r:id="rId1"/>
    <sheet xmlns:r="http://schemas.openxmlformats.org/officeDocument/2006/relationships" name="KPI Dictionary" sheetId="2" state="visible" r:id="rId2"/>
    <sheet xmlns:r="http://schemas.openxmlformats.org/officeDocument/2006/relationships" name="Program Mapping" sheetId="3" state="visible" r:id="rId3"/>
    <sheet xmlns:r="http://schemas.openxmlformats.org/officeDocument/2006/relationships" name="Monthly Data Entry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Quarterly Scorecard" sheetId="6" state="visible" r:id="rId6"/>
  </sheets>
  <definedNames/>
</workbook>
</file>

<file path=xl/styles.xml><?xml version="1.0" encoding="utf-8"?>
<styleSheet xmlns="http://schemas.openxmlformats.org/spreadsheetml/2006/main">
  <numFmts count="2">
    <numFmt numFmtId="164" formatCode="#,##0.0;-#,##0.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pivotButton="0" quotePrefix="0" xfId="0"/>
    <xf numFmtId="165" fontId="0" fillId="4" borderId="0" pivotButton="0" quotePrefix="0" xfId="0"/>
    <xf numFmtId="164" fontId="0" fillId="4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2" borderId="0" pivotButton="0" quotePrefix="0" xfId="0"/>
    <xf numFmtId="0" fontId="3" fillId="5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0" fillId="3" borderId="0" applyAlignment="1" pivotButton="0" quotePrefix="0" xfId="0">
      <alignment horizontal="center" vertical="center" wrapText="1"/>
    </xf>
    <xf numFmtId="165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/>
  </cellStyles>
  <dxfs count="3">
    <dxf>
      <fill>
        <patternFill>
          <bgColor rgb="00E2F0D9"/>
        </patternFill>
      </fill>
    </dxf>
    <dxf>
      <fill>
        <patternFill>
          <bgColor rgb="00FFF2CC"/>
        </patternFill>
      </fill>
    </dxf>
    <dxf>
      <fill>
        <patternFill>
          <b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KPITrackerTable" displayName="KPITrackerTable" ref="A1:W29" headerRowCount="1">
  <autoFilter ref="A1:W29"/>
  <tableColumns count="23">
    <tableColumn id="1" name="KPI ID"/>
    <tableColumn id="2" name="Strategic Goal"/>
    <tableColumn id="3" name="Community Need"/>
    <tableColumn id="4" name="KPI"/>
    <tableColumn id="5" name="KPI Definition"/>
    <tableColumn id="6" name="Measure Type"/>
    <tableColumn id="7" name="Data Source"/>
    <tableColumn id="8" name="Frequency"/>
    <tableColumn id="9" name="Owner"/>
    <tableColumn id="10" name="Dashboard Level"/>
    <tableColumn id="11" name="Baseline"/>
    <tableColumn id="12" name="FY Target"/>
    <tableColumn id="13" name="Q1 Actual"/>
    <tableColumn id="14" name="Q1 Status"/>
    <tableColumn id="15" name="Q2 Actual"/>
    <tableColumn id="16" name="Q2 Status"/>
    <tableColumn id="17" name="Q3 Actual"/>
    <tableColumn id="18" name="Q3 Status"/>
    <tableColumn id="19" name="Q4 Actual"/>
    <tableColumn id="20" name="Q4 Status"/>
    <tableColumn id="21" name="Annual Actual"/>
    <tableColumn id="22" name="Annual Status"/>
    <tableColumn id="23" name="Notes"/>
  </tableColumns>
  <tableStyleInfo name="TableStyleMedium2" showRowStripes="1"/>
</table>
</file>

<file path=xl/tables/table2.xml><?xml version="1.0" encoding="utf-8"?>
<table xmlns="http://schemas.openxmlformats.org/spreadsheetml/2006/main" id="2" name="KPIDictionaryTable" displayName="KPIDictionaryTable" ref="A1:B11" headerRowCount="1">
  <autoFilter ref="A1:B11"/>
  <tableColumns count="2">
    <tableColumn id="1" name="Field"/>
    <tableColumn id="2" name="Definition / Standard"/>
  </tableColumns>
  <tableStyleInfo name="TableStyleMedium9" showRowStripes="1"/>
</table>
</file>

<file path=xl/tables/table3.xml><?xml version="1.0" encoding="utf-8"?>
<table xmlns="http://schemas.openxmlformats.org/spreadsheetml/2006/main" id="3" name="ProgramMappingTable" displayName="ProgramMappingTable" ref="A1:G9" headerRowCount="1">
  <autoFilter ref="A1:G9"/>
  <tableColumns count="7">
    <tableColumn id="1" name="Program / Service Area"/>
    <tableColumn id="2" name="Related Offerings"/>
    <tableColumn id="3" name="Primary Goal"/>
    <tableColumn id="4" name="Secondary Goal"/>
    <tableColumn id="5" name="Measurement Pillar"/>
    <tableColumn id="6" name="Include in Board Dashboard?"/>
    <tableColumn id="7" name="Notes"/>
  </tableColumns>
  <tableStyleInfo name="TableStyleMedium4" showRowStripes="1"/>
</table>
</file>

<file path=xl/tables/table4.xml><?xml version="1.0" encoding="utf-8"?>
<table xmlns="http://schemas.openxmlformats.org/spreadsheetml/2006/main" id="4" name="MonthlyDataEntryTable" displayName="MonthlyDataEntryTable" ref="A1:U201" headerRowCount="1">
  <autoFilter ref="A1:U201"/>
  <tableColumns count="21">
    <tableColumn id="1" name="Month"/>
    <tableColumn id="2" name="Branch"/>
    <tableColumn id="3" name="Program / Service"/>
    <tableColumn id="4" name="Program Type"/>
    <tableColumn id="5" name="Age Group"/>
    <tableColumn id="6" name="Strategic Goal"/>
    <tableColumn id="7" name="Measurement Pillar"/>
    <tableColumn id="8" name="Partner Name"/>
    <tableColumn id="9" name="Intergenerational?"/>
    <tableColumn id="10" name="Hands-on / Interactive?"/>
    <tableColumn id="11" name="Foundational Skills?"/>
    <tableColumn id="12" name="Career / Workforce?"/>
    <tableColumn id="13" name="Sessions Offered"/>
    <tableColumn id="14" name="Attendance"/>
    <tableColumn id="15" name="Unique Learners"/>
    <tableColumn id="16" name="Completions"/>
    <tableColumn id="17" name="Avg Satisfaction"/>
    <tableColumn id="18" name="% Reporting Confidence Gain"/>
    <tableColumn id="19" name="Referrals Made"/>
    <tableColumn id="20" name="Materials / Resource Uses"/>
    <tableColumn id="21" name="Notes"/>
  </tableColumns>
  <tableStyleInfo name="TableStyleMedium15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8" customWidth="1" min="4" max="4"/>
    <col width="46" customWidth="1" min="5" max="5"/>
    <col width="14" customWidth="1" min="6" max="6"/>
    <col width="30" customWidth="1" min="7" max="7"/>
    <col width="16" customWidth="1" min="8" max="8"/>
    <col width="26" customWidth="1" min="9" max="9"/>
    <col width="18" customWidth="1" min="10" max="10"/>
    <col width="11" customWidth="1" min="11" max="11"/>
    <col width="11" customWidth="1" min="12" max="12"/>
    <col width="10" customWidth="1" min="13" max="13"/>
    <col width="15" customWidth="1" min="14" max="14"/>
    <col width="10" customWidth="1" min="15" max="15"/>
    <col width="15" customWidth="1" min="16" max="16"/>
    <col width="10" customWidth="1" min="17" max="17"/>
    <col width="15" customWidth="1" min="18" max="18"/>
    <col width="10" customWidth="1" min="19" max="19"/>
    <col width="15" customWidth="1" min="20" max="20"/>
    <col width="12" customWidth="1" min="21" max="21"/>
    <col width="15" customWidth="1" min="22" max="22"/>
    <col width="26" customWidth="1" min="23" max="23"/>
  </cols>
  <sheetData>
    <row r="1">
      <c r="A1" s="1" t="inlineStr">
        <is>
          <t>KPI ID</t>
        </is>
      </c>
      <c r="B1" s="1" t="inlineStr">
        <is>
          <t>Strategic Goal</t>
        </is>
      </c>
      <c r="C1" s="1" t="inlineStr">
        <is>
          <t>Community Need</t>
        </is>
      </c>
      <c r="D1" s="1" t="inlineStr">
        <is>
          <t>KPI</t>
        </is>
      </c>
      <c r="E1" s="1" t="inlineStr">
        <is>
          <t>KPI Definition</t>
        </is>
      </c>
      <c r="F1" s="1" t="inlineStr">
        <is>
          <t>Measure Type</t>
        </is>
      </c>
      <c r="G1" s="1" t="inlineStr">
        <is>
          <t>Data Source</t>
        </is>
      </c>
      <c r="H1" s="1" t="inlineStr">
        <is>
          <t>Frequency</t>
        </is>
      </c>
      <c r="I1" s="1" t="inlineStr">
        <is>
          <t>Owner</t>
        </is>
      </c>
      <c r="J1" s="1" t="inlineStr">
        <is>
          <t>Dashboard Level</t>
        </is>
      </c>
      <c r="K1" s="1" t="inlineStr">
        <is>
          <t>Baseline</t>
        </is>
      </c>
      <c r="L1" s="1" t="inlineStr">
        <is>
          <t>FY Target</t>
        </is>
      </c>
      <c r="M1" s="1" t="inlineStr">
        <is>
          <t>Q1 Actual</t>
        </is>
      </c>
      <c r="N1" s="1" t="inlineStr">
        <is>
          <t>Q1 Status</t>
        </is>
      </c>
      <c r="O1" s="1" t="inlineStr">
        <is>
          <t>Q2 Actual</t>
        </is>
      </c>
      <c r="P1" s="1" t="inlineStr">
        <is>
          <t>Q2 Status</t>
        </is>
      </c>
      <c r="Q1" s="1" t="inlineStr">
        <is>
          <t>Q3 Actual</t>
        </is>
      </c>
      <c r="R1" s="1" t="inlineStr">
        <is>
          <t>Q3 Status</t>
        </is>
      </c>
      <c r="S1" s="1" t="inlineStr">
        <is>
          <t>Q4 Actual</t>
        </is>
      </c>
      <c r="T1" s="1" t="inlineStr">
        <is>
          <t>Q4 Status</t>
        </is>
      </c>
      <c r="U1" s="1" t="inlineStr">
        <is>
          <t>Annual Actual</t>
        </is>
      </c>
      <c r="V1" s="1" t="inlineStr">
        <is>
          <t>Annual Status</t>
        </is>
      </c>
      <c r="W1" s="1" t="inlineStr">
        <is>
          <t>Notes</t>
        </is>
      </c>
    </row>
    <row r="2" ht="32" customHeight="1">
      <c r="A2" s="6" t="inlineStr">
        <is>
          <t>FCP-01</t>
        </is>
      </c>
      <c r="B2" s="6" t="inlineStr">
        <is>
          <t>Goal 1</t>
        </is>
      </c>
      <c r="C2" s="6" t="inlineStr">
        <is>
          <t>Access to opportunities for civic participation, community dialogue, and social connection</t>
        </is>
      </c>
      <c r="D2" s="6" t="inlineStr">
        <is>
          <t>Number of civic forums, dialogues, and community conversations hosted</t>
        </is>
      </c>
      <c r="E2" s="6" t="inlineStr">
        <is>
          <t>Count of forums, dialogues, listening sessions, and issue-focused community conversations hosted during the reporting period.</t>
        </is>
      </c>
      <c r="F2" s="6" t="inlineStr">
        <is>
          <t>Output</t>
        </is>
      </c>
      <c r="G2" s="6" t="inlineStr">
        <is>
          <t>Program calendar, event tracking form</t>
        </is>
      </c>
      <c r="H2" s="6" t="inlineStr">
        <is>
          <t>Monthly / Quarterly</t>
        </is>
      </c>
      <c r="I2" s="6" t="inlineStr">
        <is>
          <t>Community engagement staff, branch managers</t>
        </is>
      </c>
      <c r="J2" s="6" t="inlineStr">
        <is>
          <t>Management</t>
        </is>
      </c>
      <c r="K2" s="12" t="n"/>
      <c r="L2" s="12" t="n"/>
      <c r="M2" s="12" t="n"/>
      <c r="N2" s="13">
        <f>IF(M2="","",IF($L2="","",IF(M2&gt;=$L2/4,"On Track",IF(M2&gt;=$L2/4*0.85,"Watch","Needs Attention"))))</f>
        <v/>
      </c>
      <c r="O2" s="12" t="n"/>
      <c r="P2" s="13">
        <f>IF(O2="","",IF($L2="","",IF(O2&gt;=$L2/4,"On Track",IF(O2&gt;=$L2/4*0.85,"Watch","Needs Attention"))))</f>
        <v/>
      </c>
      <c r="Q2" s="12" t="n"/>
      <c r="R2" s="13">
        <f>IF(Q2="","",IF($L2="","",IF(Q2&gt;=$L2/4,"On Track",IF(Q2&gt;=$L2/4*0.85,"Watch","Needs Attention"))))</f>
        <v/>
      </c>
      <c r="S2" s="12" t="n"/>
      <c r="T2" s="13">
        <f>IF(S2="","",IF($L2="","",IF(S2&gt;=$L2/4,"On Track",IF(S2&gt;=$L2/4*0.85,"Watch","Needs Attention"))))</f>
        <v/>
      </c>
      <c r="U2" s="14">
        <f>IF(COUNTA(M2,O2,Q2,S2)=0,"",SUM(M2,O2,Q2,S2))</f>
        <v/>
      </c>
      <c r="V2" s="15">
        <f>IF(U2="","",IF($L2="","",IF(U2&gt;=$L2,"On Track",IF(U2&gt;=$L2*0.85,"Watch","Needs Attention"))))</f>
        <v/>
      </c>
      <c r="W2" t="inlineStr"/>
    </row>
    <row r="3" ht="32" customHeight="1">
      <c r="A3" s="6" t="inlineStr">
        <is>
          <t>FCP-02</t>
        </is>
      </c>
      <c r="B3" s="6" t="inlineStr">
        <is>
          <t>Goal 1</t>
        </is>
      </c>
      <c r="C3" s="6" t="inlineStr">
        <is>
          <t>Access to opportunities for civic participation, community dialogue, and social connection</t>
        </is>
      </c>
      <c r="D3" s="6" t="inlineStr">
        <is>
          <t>Total participation in civic and community dialogue programs</t>
        </is>
      </c>
      <c r="E3" s="6" t="inlineStr">
        <is>
          <t>Total attendance across civic forums, community conversations, town halls, and related engagement events.</t>
        </is>
      </c>
      <c r="F3" s="6" t="inlineStr">
        <is>
          <t>Output</t>
        </is>
      </c>
      <c r="G3" s="6" t="inlineStr">
        <is>
          <t>Program attendance records</t>
        </is>
      </c>
      <c r="H3" s="6" t="inlineStr">
        <is>
          <t>Monthly / Quarterly</t>
        </is>
      </c>
      <c r="I3" s="6" t="inlineStr">
        <is>
          <t>Community engagement staff, data team</t>
        </is>
      </c>
      <c r="J3" s="6" t="inlineStr">
        <is>
          <t>Board + Management</t>
        </is>
      </c>
      <c r="K3" s="12" t="n"/>
      <c r="L3" s="12" t="n"/>
      <c r="M3" s="12" t="n"/>
      <c r="N3" s="13">
        <f>IF(M3="","",IF($L3="","",IF(M3&gt;=$L3/4,"On Track",IF(M3&gt;=$L3/4*0.85,"Watch","Needs Attention"))))</f>
        <v/>
      </c>
      <c r="O3" s="12" t="n"/>
      <c r="P3" s="13">
        <f>IF(O3="","",IF($L3="","",IF(O3&gt;=$L3/4,"On Track",IF(O3&gt;=$L3/4*0.85,"Watch","Needs Attention"))))</f>
        <v/>
      </c>
      <c r="Q3" s="12" t="n"/>
      <c r="R3" s="13">
        <f>IF(Q3="","",IF($L3="","",IF(Q3&gt;=$L3/4,"On Track",IF(Q3&gt;=$L3/4*0.85,"Watch","Needs Attention"))))</f>
        <v/>
      </c>
      <c r="S3" s="12" t="n"/>
      <c r="T3" s="13">
        <f>IF(S3="","",IF($L3="","",IF(S3&gt;=$L3/4,"On Track",IF(S3&gt;=$L3/4*0.85,"Watch","Needs Attention"))))</f>
        <v/>
      </c>
      <c r="U3" s="14">
        <f>IF(COUNTA(M3,O3,Q3,S3)=0,"",SUM(M3,O3,Q3,S3))</f>
        <v/>
      </c>
      <c r="V3" s="15">
        <f>IF(U3="","",IF($L3="","",IF(U3&gt;=$L3,"On Track",IF(U3&gt;=$L3*0.85,"Watch","Needs Attention"))))</f>
        <v/>
      </c>
      <c r="W3" t="inlineStr"/>
    </row>
    <row r="4" ht="32" customHeight="1">
      <c r="A4" s="6" t="inlineStr">
        <is>
          <t>FCP-03</t>
        </is>
      </c>
      <c r="B4" s="6" t="inlineStr">
        <is>
          <t>Goal 1</t>
        </is>
      </c>
      <c r="C4" s="6" t="inlineStr">
        <is>
          <t>Spaces that support respectful, inclusive dialogue</t>
        </is>
      </c>
      <c r="D4" s="6" t="inlineStr">
        <is>
          <t>Participant rating of respectful and inclusive dialogue</t>
        </is>
      </c>
      <c r="E4" s="6" t="inlineStr">
        <is>
          <t>Average survey rating on whether participants felt the space was respectful, welcoming, and inclusive.</t>
        </is>
      </c>
      <c r="F4" s="6" t="inlineStr">
        <is>
          <t>Outcome</t>
        </is>
      </c>
      <c r="G4" s="6" t="inlineStr">
        <is>
          <t>Participant survey</t>
        </is>
      </c>
      <c r="H4" s="6" t="inlineStr">
        <is>
          <t>Quarterly</t>
        </is>
      </c>
      <c r="I4" s="6" t="inlineStr">
        <is>
          <t>Program staff, data team</t>
        </is>
      </c>
      <c r="J4" s="6" t="inlineStr">
        <is>
          <t>Board + Management</t>
        </is>
      </c>
      <c r="K4" s="12" t="n"/>
      <c r="L4" s="12" t="n"/>
      <c r="M4" s="12" t="n"/>
      <c r="N4" s="13">
        <f>IF(M4="","",IF($L4="","",IF(M4&gt;=$L4/4,"On Track",IF(M4&gt;=$L4/4*0.85,"Watch","Needs Attention"))))</f>
        <v/>
      </c>
      <c r="O4" s="12" t="n"/>
      <c r="P4" s="13">
        <f>IF(O4="","",IF($L4="","",IF(O4&gt;=$L4/4,"On Track",IF(O4&gt;=$L4/4*0.85,"Watch","Needs Attention"))))</f>
        <v/>
      </c>
      <c r="Q4" s="12" t="n"/>
      <c r="R4" s="13">
        <f>IF(Q4="","",IF($L4="","",IF(Q4&gt;=$L4/4,"On Track",IF(Q4&gt;=$L4/4*0.85,"Watch","Needs Attention"))))</f>
        <v/>
      </c>
      <c r="S4" s="12" t="n"/>
      <c r="T4" s="13">
        <f>IF(S4="","",IF($L4="","",IF(S4&gt;=$L4/4,"On Track",IF(S4&gt;=$L4/4*0.85,"Watch","Needs Attention"))))</f>
        <v/>
      </c>
      <c r="U4" s="14">
        <f>IF(COUNTA(M4,O4,Q4,S4)=0,"",SUM(M4,O4,Q4,S4))</f>
        <v/>
      </c>
      <c r="V4" s="15">
        <f>IF(U4="","",IF($L4="","",IF(U4&gt;=$L4,"On Track",IF(U4&gt;=$L4*0.85,"Watch","Needs Attention"))))</f>
        <v/>
      </c>
      <c r="W4" t="inlineStr"/>
    </row>
    <row r="5" ht="32" customHeight="1">
      <c r="A5" s="6" t="inlineStr">
        <is>
          <t>FCP-04</t>
        </is>
      </c>
      <c r="B5" s="6" t="inlineStr">
        <is>
          <t>Goal 1</t>
        </is>
      </c>
      <c r="C5" s="6" t="inlineStr">
        <is>
          <t>Access to opportunities for civic participation, community dialogue, and social connection</t>
        </is>
      </c>
      <c r="D5" s="6" t="inlineStr">
        <is>
          <t>Percentage reporting increased awareness of how to participate in civic life</t>
        </is>
      </c>
      <c r="E5" s="6" t="inlineStr">
        <is>
          <t>Share of surveyed participants who say they better understand voting, public meetings, civic processes, or ways to engage locally.</t>
        </is>
      </c>
      <c r="F5" s="6" t="inlineStr">
        <is>
          <t>Outcome</t>
        </is>
      </c>
      <c r="G5" s="6" t="inlineStr">
        <is>
          <t>Participant survey</t>
        </is>
      </c>
      <c r="H5" s="6" t="inlineStr">
        <is>
          <t>Quarterly / Annually</t>
        </is>
      </c>
      <c r="I5" s="6" t="inlineStr">
        <is>
          <t>Community engagement staff</t>
        </is>
      </c>
      <c r="J5" s="6" t="inlineStr">
        <is>
          <t>Board</t>
        </is>
      </c>
      <c r="K5" s="12" t="n"/>
      <c r="L5" s="12" t="n"/>
      <c r="M5" s="12" t="n"/>
      <c r="N5" s="13">
        <f>IF(M5="","",IF($L5="","",IF(M5&gt;=$L5/4,"On Track",IF(M5&gt;=$L5/4*0.85,"Watch","Needs Attention"))))</f>
        <v/>
      </c>
      <c r="O5" s="12" t="n"/>
      <c r="P5" s="13">
        <f>IF(O5="","",IF($L5="","",IF(O5&gt;=$L5/4,"On Track",IF(O5&gt;=$L5/4*0.85,"Watch","Needs Attention"))))</f>
        <v/>
      </c>
      <c r="Q5" s="12" t="n"/>
      <c r="R5" s="13">
        <f>IF(Q5="","",IF($L5="","",IF(Q5&gt;=$L5/4,"On Track",IF(Q5&gt;=$L5/4*0.85,"Watch","Needs Attention"))))</f>
        <v/>
      </c>
      <c r="S5" s="12" t="n"/>
      <c r="T5" s="13">
        <f>IF(S5="","",IF($L5="","",IF(S5&gt;=$L5/4,"On Track",IF(S5&gt;=$L5/4*0.85,"Watch","Needs Attention"))))</f>
        <v/>
      </c>
      <c r="U5" s="14">
        <f>IF(COUNTA(M5,O5,Q5,S5)=0,"",SUM(M5,O5,Q5,S5))</f>
        <v/>
      </c>
      <c r="V5" s="15">
        <f>IF(U5="","",IF($L5="","",IF(U5&gt;=$L5,"On Track",IF(U5&gt;=$L5*0.85,"Watch","Needs Attention"))))</f>
        <v/>
      </c>
      <c r="W5" t="inlineStr"/>
    </row>
    <row r="6" ht="32" customHeight="1">
      <c r="A6" s="6" t="inlineStr">
        <is>
          <t>FCP-05</t>
        </is>
      </c>
      <c r="B6" s="6" t="inlineStr">
        <is>
          <t>Goal 1</t>
        </is>
      </c>
      <c r="C6" s="6" t="inlineStr">
        <is>
          <t>Access to opportunities for civic participation, community dialogue, and social connection</t>
        </is>
      </c>
      <c r="D6" s="6" t="inlineStr">
        <is>
          <t>Number of nonpartisan civic information programs or resources shared</t>
        </is>
      </c>
      <c r="E6" s="6" t="inlineStr">
        <is>
          <t>Count of programs, resource guides, displays, or outreach efforts that provide clear, nonpartisan civic information.</t>
        </is>
      </c>
      <c r="F6" s="6" t="inlineStr">
        <is>
          <t>Output</t>
        </is>
      </c>
      <c r="G6" s="6" t="inlineStr">
        <is>
          <t>Program logs, outreach logs</t>
        </is>
      </c>
      <c r="H6" s="6" t="inlineStr">
        <is>
          <t>Quarterly</t>
        </is>
      </c>
      <c r="I6" s="6" t="inlineStr">
        <is>
          <t>Community engagement staff</t>
        </is>
      </c>
      <c r="J6" s="6" t="inlineStr">
        <is>
          <t>Management</t>
        </is>
      </c>
      <c r="K6" s="12" t="n"/>
      <c r="L6" s="12" t="n"/>
      <c r="M6" s="12" t="n"/>
      <c r="N6" s="13">
        <f>IF(M6="","",IF($L6="","",IF(M6&gt;=$L6/4,"On Track",IF(M6&gt;=$L6/4*0.85,"Watch","Needs Attention"))))</f>
        <v/>
      </c>
      <c r="O6" s="12" t="n"/>
      <c r="P6" s="13">
        <f>IF(O6="","",IF($L6="","",IF(O6&gt;=$L6/4,"On Track",IF(O6&gt;=$L6/4*0.85,"Watch","Needs Attention"))))</f>
        <v/>
      </c>
      <c r="Q6" s="12" t="n"/>
      <c r="R6" s="13">
        <f>IF(Q6="","",IF($L6="","",IF(Q6&gt;=$L6/4,"On Track",IF(Q6&gt;=$L6/4*0.85,"Watch","Needs Attention"))))</f>
        <v/>
      </c>
      <c r="S6" s="12" t="n"/>
      <c r="T6" s="13">
        <f>IF(S6="","",IF($L6="","",IF(S6&gt;=$L6/4,"On Track",IF(S6&gt;=$L6/4*0.85,"Watch","Needs Attention"))))</f>
        <v/>
      </c>
      <c r="U6" s="14">
        <f>IF(COUNTA(M6,O6,Q6,S6)=0,"",SUM(M6,O6,Q6,S6))</f>
        <v/>
      </c>
      <c r="V6" s="15">
        <f>IF(U6="","",IF($L6="","",IF(U6&gt;=$L6,"On Track",IF(U6&gt;=$L6*0.85,"Watch","Needs Attention"))))</f>
        <v/>
      </c>
      <c r="W6" t="inlineStr"/>
    </row>
    <row r="7" ht="32" customHeight="1">
      <c r="A7" s="6" t="inlineStr">
        <is>
          <t>FCP-06</t>
        </is>
      </c>
      <c r="B7" s="6" t="inlineStr">
        <is>
          <t>Goal 1</t>
        </is>
      </c>
      <c r="C7" s="6" t="inlineStr">
        <is>
          <t>Strong, trusted partnerships to address shared challenges</t>
        </is>
      </c>
      <c r="D7" s="6" t="inlineStr">
        <is>
          <t>Number of people connected to reliable community resources for critical needs</t>
        </is>
      </c>
      <c r="E7" s="6" t="inlineStr">
        <is>
          <t>Count of referrals, warm handoffs, or resource connections made through civic or community support programs.</t>
        </is>
      </c>
      <c r="F7" s="6" t="inlineStr">
        <is>
          <t>Output</t>
        </is>
      </c>
      <c r="G7" s="6" t="inlineStr">
        <is>
          <t>Referral log, partner reports</t>
        </is>
      </c>
      <c r="H7" s="6" t="inlineStr">
        <is>
          <t>Quarterly</t>
        </is>
      </c>
      <c r="I7" s="6" t="inlineStr">
        <is>
          <t>Frontline staff, community partners</t>
        </is>
      </c>
      <c r="J7" s="6" t="inlineStr">
        <is>
          <t>Management</t>
        </is>
      </c>
      <c r="K7" s="12" t="n"/>
      <c r="L7" s="12" t="n"/>
      <c r="M7" s="12" t="n"/>
      <c r="N7" s="13">
        <f>IF(M7="","",IF($L7="","",IF(M7&gt;=$L7/4,"On Track",IF(M7&gt;=$L7/4*0.85,"Watch","Needs Attention"))))</f>
        <v/>
      </c>
      <c r="O7" s="12" t="n"/>
      <c r="P7" s="13">
        <f>IF(O7="","",IF($L7="","",IF(O7&gt;=$L7/4,"On Track",IF(O7&gt;=$L7/4*0.85,"Watch","Needs Attention"))))</f>
        <v/>
      </c>
      <c r="Q7" s="12" t="n"/>
      <c r="R7" s="13">
        <f>IF(Q7="","",IF($L7="","",IF(Q7&gt;=$L7/4,"On Track",IF(Q7&gt;=$L7/4*0.85,"Watch","Needs Attention"))))</f>
        <v/>
      </c>
      <c r="S7" s="12" t="n"/>
      <c r="T7" s="13">
        <f>IF(S7="","",IF($L7="","",IF(S7&gt;=$L7/4,"On Track",IF(S7&gt;=$L7/4*0.85,"Watch","Needs Attention"))))</f>
        <v/>
      </c>
      <c r="U7" s="14">
        <f>IF(COUNTA(M7,O7,Q7,S7)=0,"",SUM(M7,O7,Q7,S7))</f>
        <v/>
      </c>
      <c r="V7" s="15">
        <f>IF(U7="","",IF($L7="","",IF(U7&gt;=$L7,"On Track",IF(U7&gt;=$L7*0.85,"Watch","Needs Attention"))))</f>
        <v/>
      </c>
      <c r="W7" t="inlineStr"/>
    </row>
    <row r="8" ht="32" customHeight="1">
      <c r="A8" s="6" t="inlineStr">
        <is>
          <t>FCP-07</t>
        </is>
      </c>
      <c r="B8" s="6" t="inlineStr">
        <is>
          <t>Goal 2</t>
        </is>
      </c>
      <c r="C8" s="6" t="inlineStr">
        <is>
          <t>Access to local history and cultural knowledge that reflects the community</t>
        </is>
      </c>
      <c r="D8" s="6" t="inlineStr">
        <is>
          <t>Local history and heritage program participation</t>
        </is>
      </c>
      <c r="E8" s="6" t="inlineStr">
        <is>
          <t>Attendance in local history talks, archive programs, heritage events, and related educational offerings.</t>
        </is>
      </c>
      <c r="F8" s="6" t="inlineStr">
        <is>
          <t>Output</t>
        </is>
      </c>
      <c r="G8" s="6" t="inlineStr">
        <is>
          <t>Program attendance records</t>
        </is>
      </c>
      <c r="H8" s="6" t="inlineStr">
        <is>
          <t>Monthly / Quarterly</t>
        </is>
      </c>
      <c r="I8" s="6" t="inlineStr">
        <is>
          <t>Local history staff, data team</t>
        </is>
      </c>
      <c r="J8" s="6" t="inlineStr">
        <is>
          <t>Board + Management</t>
        </is>
      </c>
      <c r="K8" s="12" t="n"/>
      <c r="L8" s="12" t="n"/>
      <c r="M8" s="12" t="n"/>
      <c r="N8" s="13">
        <f>IF(M8="","",IF($L8="","",IF(M8&gt;=$L8/4,"On Track",IF(M8&gt;=$L8/4*0.85,"Watch","Needs Attention"))))</f>
        <v/>
      </c>
      <c r="O8" s="12" t="n"/>
      <c r="P8" s="13">
        <f>IF(O8="","",IF($L8="","",IF(O8&gt;=$L8/4,"On Track",IF(O8&gt;=$L8/4*0.85,"Watch","Needs Attention"))))</f>
        <v/>
      </c>
      <c r="Q8" s="12" t="n"/>
      <c r="R8" s="13">
        <f>IF(Q8="","",IF($L8="","",IF(Q8&gt;=$L8/4,"On Track",IF(Q8&gt;=$L8/4*0.85,"Watch","Needs Attention"))))</f>
        <v/>
      </c>
      <c r="S8" s="12" t="n"/>
      <c r="T8" s="13">
        <f>IF(S8="","",IF($L8="","",IF(S8&gt;=$L8/4,"On Track",IF(S8&gt;=$L8/4*0.85,"Watch","Needs Attention"))))</f>
        <v/>
      </c>
      <c r="U8" s="14">
        <f>IF(COUNTA(M8,O8,Q8,S8)=0,"",SUM(M8,O8,Q8,S8))</f>
        <v/>
      </c>
      <c r="V8" s="15">
        <f>IF(U8="","",IF($L8="","",IF(U8&gt;=$L8,"On Track",IF(U8&gt;=$L8*0.85,"Watch","Needs Attention"))))</f>
        <v/>
      </c>
      <c r="W8" t="inlineStr"/>
    </row>
    <row r="9" ht="32" customHeight="1">
      <c r="A9" s="6" t="inlineStr">
        <is>
          <t>FCP-08</t>
        </is>
      </c>
      <c r="B9" s="6" t="inlineStr">
        <is>
          <t>Goal 2</t>
        </is>
      </c>
      <c r="C9" s="6" t="inlineStr">
        <is>
          <t>Access to local history and cultural knowledge that reflects the community</t>
        </is>
      </c>
      <c r="D9" s="6" t="inlineStr">
        <is>
          <t>Use of local history archives and cultural collections</t>
        </is>
      </c>
      <c r="E9" s="6" t="inlineStr">
        <is>
          <t>Number of visits, requests, checkouts, digital views, or uses of local history archives and cultural collections.</t>
        </is>
      </c>
      <c r="F9" s="6" t="inlineStr">
        <is>
          <t>Reach</t>
        </is>
      </c>
      <c r="G9" s="6" t="inlineStr">
        <is>
          <t>Archives logs, ILS, digital analytics</t>
        </is>
      </c>
      <c r="H9" s="6" t="inlineStr">
        <is>
          <t>Monthly / Quarterly</t>
        </is>
      </c>
      <c r="I9" s="6" t="inlineStr">
        <is>
          <t>Local history staff, collections staff</t>
        </is>
      </c>
      <c r="J9" s="6" t="inlineStr">
        <is>
          <t>Board + Management</t>
        </is>
      </c>
      <c r="K9" s="12" t="n"/>
      <c r="L9" s="12" t="n"/>
      <c r="M9" s="12" t="n"/>
      <c r="N9" s="13">
        <f>IF(M9="","",IF($L9="","",IF(M9&gt;=$L9/4,"On Track",IF(M9&gt;=$L9/4*0.85,"Watch","Needs Attention"))))</f>
        <v/>
      </c>
      <c r="O9" s="12" t="n"/>
      <c r="P9" s="13">
        <f>IF(O9="","",IF($L9="","",IF(O9&gt;=$L9/4,"On Track",IF(O9&gt;=$L9/4*0.85,"Watch","Needs Attention"))))</f>
        <v/>
      </c>
      <c r="Q9" s="12" t="n"/>
      <c r="R9" s="13">
        <f>IF(Q9="","",IF($L9="","",IF(Q9&gt;=$L9/4,"On Track",IF(Q9&gt;=$L9/4*0.85,"Watch","Needs Attention"))))</f>
        <v/>
      </c>
      <c r="S9" s="12" t="n"/>
      <c r="T9" s="13">
        <f>IF(S9="","",IF($L9="","",IF(S9&gt;=$L9/4,"On Track",IF(S9&gt;=$L9/4*0.85,"Watch","Needs Attention"))))</f>
        <v/>
      </c>
      <c r="U9" s="14">
        <f>IF(COUNTA(M9,O9,Q9,S9)=0,"",SUM(M9,O9,Q9,S9))</f>
        <v/>
      </c>
      <c r="V9" s="15">
        <f>IF(U9="","",IF($L9="","",IF(U9&gt;=$L9,"On Track",IF(U9&gt;=$L9*0.85,"Watch","Needs Attention"))))</f>
        <v/>
      </c>
      <c r="W9" t="inlineStr"/>
    </row>
    <row r="10" ht="32" customHeight="1">
      <c r="A10" s="6" t="inlineStr">
        <is>
          <t>FCP-09</t>
        </is>
      </c>
      <c r="B10" s="6" t="inlineStr">
        <is>
          <t>Goal 2</t>
        </is>
      </c>
      <c r="C10" s="6" t="inlineStr">
        <is>
          <t>Access to local history and cultural knowledge that reflects the community</t>
        </is>
      </c>
      <c r="D10" s="6" t="inlineStr">
        <is>
          <t>Number of community stories gathered or shared</t>
        </is>
      </c>
      <c r="E10" s="6" t="inlineStr">
        <is>
          <t>Count of oral histories, story submissions, neighborhood stories, exhibits, or digital story features collected or published.</t>
        </is>
      </c>
      <c r="F10" s="6" t="inlineStr">
        <is>
          <t>Output</t>
        </is>
      </c>
      <c r="G10" s="6" t="inlineStr">
        <is>
          <t>Story collection log, archives log</t>
        </is>
      </c>
      <c r="H10" s="6" t="inlineStr">
        <is>
          <t>Quarterly</t>
        </is>
      </c>
      <c r="I10" s="6" t="inlineStr">
        <is>
          <t>Local history staff, community engagement staff</t>
        </is>
      </c>
      <c r="J10" s="6" t="inlineStr">
        <is>
          <t>Management</t>
        </is>
      </c>
      <c r="K10" s="12" t="n"/>
      <c r="L10" s="12" t="n"/>
      <c r="M10" s="12" t="n"/>
      <c r="N10" s="13">
        <f>IF(M10="","",IF($L10="","",IF(M10&gt;=$L10/4,"On Track",IF(M10&gt;=$L10/4*0.85,"Watch","Needs Attention"))))</f>
        <v/>
      </c>
      <c r="O10" s="12" t="n"/>
      <c r="P10" s="13">
        <f>IF(O10="","",IF($L10="","",IF(O10&gt;=$L10/4,"On Track",IF(O10&gt;=$L10/4*0.85,"Watch","Needs Attention"))))</f>
        <v/>
      </c>
      <c r="Q10" s="12" t="n"/>
      <c r="R10" s="13">
        <f>IF(Q10="","",IF($L10="","",IF(Q10&gt;=$L10/4,"On Track",IF(Q10&gt;=$L10/4*0.85,"Watch","Needs Attention"))))</f>
        <v/>
      </c>
      <c r="S10" s="12" t="n"/>
      <c r="T10" s="13">
        <f>IF(S10="","",IF($L10="","",IF(S10&gt;=$L10/4,"On Track",IF(S10&gt;=$L10/4*0.85,"Watch","Needs Attention"))))</f>
        <v/>
      </c>
      <c r="U10" s="14">
        <f>IF(COUNTA(M10,O10,Q10,S10)=0,"",SUM(M10,O10,Q10,S10))</f>
        <v/>
      </c>
      <c r="V10" s="15">
        <f>IF(U10="","",IF($L10="","",IF(U10&gt;=$L10,"On Track",IF(U10&gt;=$L10*0.85,"Watch","Needs Attention"))))</f>
        <v/>
      </c>
      <c r="W10" t="inlineStr"/>
    </row>
    <row r="11" ht="32" customHeight="1">
      <c r="A11" s="6" t="inlineStr">
        <is>
          <t>FCP-10</t>
        </is>
      </c>
      <c r="B11" s="6" t="inlineStr">
        <is>
          <t>Goal 2</t>
        </is>
      </c>
      <c r="C11" s="6" t="inlineStr">
        <is>
          <t>Access to arts and cultural programs that amplify local voices</t>
        </is>
      </c>
      <c r="D11" s="6" t="inlineStr">
        <is>
          <t>Arts, culture, and exhibition participation</t>
        </is>
      </c>
      <c r="E11" s="6" t="inlineStr">
        <is>
          <t>Attendance in arts, culture, exhibitions, film, media, and community gathering programs that highlight local voices.</t>
        </is>
      </c>
      <c r="F11" s="6" t="inlineStr">
        <is>
          <t>Output</t>
        </is>
      </c>
      <c r="G11" s="6" t="inlineStr">
        <is>
          <t>Program attendance records</t>
        </is>
      </c>
      <c r="H11" s="6" t="inlineStr">
        <is>
          <t>Monthly / Quarterly</t>
        </is>
      </c>
      <c r="I11" s="6" t="inlineStr">
        <is>
          <t>Arts and culture staff, branch staff</t>
        </is>
      </c>
      <c r="J11" s="6" t="inlineStr">
        <is>
          <t>Board + Management</t>
        </is>
      </c>
      <c r="K11" s="12" t="n"/>
      <c r="L11" s="12" t="n"/>
      <c r="M11" s="12" t="n"/>
      <c r="N11" s="13">
        <f>IF(M11="","",IF($L11="","",IF(M11&gt;=$L11/4,"On Track",IF(M11&gt;=$L11/4*0.85,"Watch","Needs Attention"))))</f>
        <v/>
      </c>
      <c r="O11" s="12" t="n"/>
      <c r="P11" s="13">
        <f>IF(O11="","",IF($L11="","",IF(O11&gt;=$L11/4,"On Track",IF(O11&gt;=$L11/4*0.85,"Watch","Needs Attention"))))</f>
        <v/>
      </c>
      <c r="Q11" s="12" t="n"/>
      <c r="R11" s="13">
        <f>IF(Q11="","",IF($L11="","",IF(Q11&gt;=$L11/4,"On Track",IF(Q11&gt;=$L11/4*0.85,"Watch","Needs Attention"))))</f>
        <v/>
      </c>
      <c r="S11" s="12" t="n"/>
      <c r="T11" s="13">
        <f>IF(S11="","",IF($L11="","",IF(S11&gt;=$L11/4,"On Track",IF(S11&gt;=$L11/4*0.85,"Watch","Needs Attention"))))</f>
        <v/>
      </c>
      <c r="U11" s="14">
        <f>IF(COUNTA(M11,O11,Q11,S11)=0,"",SUM(M11,O11,Q11,S11))</f>
        <v/>
      </c>
      <c r="V11" s="15">
        <f>IF(U11="","",IF($L11="","",IF(U11&gt;=$L11,"On Track",IF(U11&gt;=$L11*0.85,"Watch","Needs Attention"))))</f>
        <v/>
      </c>
      <c r="W11" t="inlineStr"/>
    </row>
    <row r="12" ht="32" customHeight="1">
      <c r="A12" s="6" t="inlineStr">
        <is>
          <t>FCP-11</t>
        </is>
      </c>
      <c r="B12" s="6" t="inlineStr">
        <is>
          <t>Goal 2</t>
        </is>
      </c>
      <c r="C12" s="6" t="inlineStr">
        <is>
          <t>Access to arts and cultural programs that amplify local voices</t>
        </is>
      </c>
      <c r="D12" s="6" t="inlineStr">
        <is>
          <t>Percentage of cultural programs shaped by community voice</t>
        </is>
      </c>
      <c r="E12" s="6" t="inlineStr">
        <is>
          <t>Share of cultural programs, exhibitions, or gatherings that include community co-creation, advisory input, artist collaboration, or neighborhood shaping.</t>
        </is>
      </c>
      <c r="F12" s="6" t="inlineStr">
        <is>
          <t>Quality / Capacity</t>
        </is>
      </c>
      <c r="G12" s="6" t="inlineStr">
        <is>
          <t>Program planning log</t>
        </is>
      </c>
      <c r="H12" s="6" t="inlineStr">
        <is>
          <t>Quarterly</t>
        </is>
      </c>
      <c r="I12" s="6" t="inlineStr">
        <is>
          <t>Arts and culture staff</t>
        </is>
      </c>
      <c r="J12" s="6" t="inlineStr">
        <is>
          <t>Management</t>
        </is>
      </c>
      <c r="K12" s="12" t="n"/>
      <c r="L12" s="12" t="n"/>
      <c r="M12" s="12" t="n"/>
      <c r="N12" s="13">
        <f>IF(M12="","",IF($L12="","",IF(M12&gt;=$L12/4,"On Track",IF(M12&gt;=$L12/4*0.85,"Watch","Needs Attention"))))</f>
        <v/>
      </c>
      <c r="O12" s="12" t="n"/>
      <c r="P12" s="13">
        <f>IF(O12="","",IF($L12="","",IF(O12&gt;=$L12/4,"On Track",IF(O12&gt;=$L12/4*0.85,"Watch","Needs Attention"))))</f>
        <v/>
      </c>
      <c r="Q12" s="12" t="n"/>
      <c r="R12" s="13">
        <f>IF(Q12="","",IF($L12="","",IF(Q12&gt;=$L12/4,"On Track",IF(Q12&gt;=$L12/4*0.85,"Watch","Needs Attention"))))</f>
        <v/>
      </c>
      <c r="S12" s="12" t="n"/>
      <c r="T12" s="13">
        <f>IF(S12="","",IF($L12="","",IF(S12&gt;=$L12/4,"On Track",IF(S12&gt;=$L12/4*0.85,"Watch","Needs Attention"))))</f>
        <v/>
      </c>
      <c r="U12" s="14">
        <f>IF(COUNTA(M12,O12,Q12,S12)=0,"",SUM(M12,O12,Q12,S12))</f>
        <v/>
      </c>
      <c r="V12" s="15">
        <f>IF(U12="","",IF($L12="","",IF(U12&gt;=$L12,"On Track",IF(U12&gt;=$L12*0.85,"Watch","Needs Attention"))))</f>
        <v/>
      </c>
      <c r="W12" t="inlineStr"/>
    </row>
    <row r="13" ht="32" customHeight="1">
      <c r="A13" s="6" t="inlineStr">
        <is>
          <t>FCP-12</t>
        </is>
      </c>
      <c r="B13" s="6" t="inlineStr">
        <is>
          <t>Goal 2</t>
        </is>
      </c>
      <c r="C13" s="6" t="inlineStr">
        <is>
          <t>Access to local history and cultural knowledge that reflects the community</t>
        </is>
      </c>
      <c r="D13" s="6" t="inlineStr">
        <is>
          <t>Percentage of participants reporting stronger connection to local history, culture, or community identity</t>
        </is>
      </c>
      <c r="E13" s="6" t="inlineStr">
        <is>
          <t>Share of surveyed participants who report a stronger sense of connection to local history, neighborhood identity, or community culture.</t>
        </is>
      </c>
      <c r="F13" s="6" t="inlineStr">
        <is>
          <t>Outcome</t>
        </is>
      </c>
      <c r="G13" s="6" t="inlineStr">
        <is>
          <t>Participant survey</t>
        </is>
      </c>
      <c r="H13" s="6" t="inlineStr">
        <is>
          <t>Quarterly / Annually</t>
        </is>
      </c>
      <c r="I13" s="6" t="inlineStr">
        <is>
          <t>Program staff, data team</t>
        </is>
      </c>
      <c r="J13" s="6" t="inlineStr">
        <is>
          <t>Board</t>
        </is>
      </c>
      <c r="K13" s="12" t="n"/>
      <c r="L13" s="12" t="n"/>
      <c r="M13" s="12" t="n"/>
      <c r="N13" s="13">
        <f>IF(M13="","",IF($L13="","",IF(M13&gt;=$L13/4,"On Track",IF(M13&gt;=$L13/4*0.85,"Watch","Needs Attention"))))</f>
        <v/>
      </c>
      <c r="O13" s="12" t="n"/>
      <c r="P13" s="13">
        <f>IF(O13="","",IF($L13="","",IF(O13&gt;=$L13/4,"On Track",IF(O13&gt;=$L13/4*0.85,"Watch","Needs Attention"))))</f>
        <v/>
      </c>
      <c r="Q13" s="12" t="n"/>
      <c r="R13" s="13">
        <f>IF(Q13="","",IF($L13="","",IF(Q13&gt;=$L13/4,"On Track",IF(Q13&gt;=$L13/4*0.85,"Watch","Needs Attention"))))</f>
        <v/>
      </c>
      <c r="S13" s="12" t="n"/>
      <c r="T13" s="13">
        <f>IF(S13="","",IF($L13="","",IF(S13&gt;=$L13/4,"On Track",IF(S13&gt;=$L13/4*0.85,"Watch","Needs Attention"))))</f>
        <v/>
      </c>
      <c r="U13" s="14">
        <f>IF(COUNTA(M13,O13,Q13,S13)=0,"",SUM(M13,O13,Q13,S13))</f>
        <v/>
      </c>
      <c r="V13" s="15">
        <f>IF(U13="","",IF($L13="","",IF(U13&gt;=$L13,"On Track",IF(U13&gt;=$L13*0.85,"Watch","Needs Attention"))))</f>
        <v/>
      </c>
      <c r="W13" t="inlineStr"/>
    </row>
    <row r="14" ht="32" customHeight="1">
      <c r="A14" s="6" t="inlineStr">
        <is>
          <t>FCP-13</t>
        </is>
      </c>
      <c r="B14" s="6" t="inlineStr">
        <is>
          <t>Goal 2</t>
        </is>
      </c>
      <c r="C14" s="6" t="inlineStr">
        <is>
          <t>Access to arts and cultural programs that amplify local voices</t>
        </is>
      </c>
      <c r="D14" s="6" t="inlineStr">
        <is>
          <t>Number of local artists, storytellers, historians, or community voices featured</t>
        </is>
      </c>
      <c r="E14" s="6" t="inlineStr">
        <is>
          <t>Count of distinct local contributors featured in programs, exhibitions, collections, film, or media experiences.</t>
        </is>
      </c>
      <c r="F14" s="6" t="inlineStr">
        <is>
          <t>Output</t>
        </is>
      </c>
      <c r="G14" s="6" t="inlineStr">
        <is>
          <t>Program records, exhibition logs</t>
        </is>
      </c>
      <c r="H14" s="6" t="inlineStr">
        <is>
          <t>Quarterly</t>
        </is>
      </c>
      <c r="I14" s="6" t="inlineStr">
        <is>
          <t>Arts and culture staff</t>
        </is>
      </c>
      <c r="J14" s="6" t="inlineStr">
        <is>
          <t>Management</t>
        </is>
      </c>
      <c r="K14" s="12" t="n"/>
      <c r="L14" s="12" t="n"/>
      <c r="M14" s="12" t="n"/>
      <c r="N14" s="13">
        <f>IF(M14="","",IF($L14="","",IF(M14&gt;=$L14/4,"On Track",IF(M14&gt;=$L14/4*0.85,"Watch","Needs Attention"))))</f>
        <v/>
      </c>
      <c r="O14" s="12" t="n"/>
      <c r="P14" s="13">
        <f>IF(O14="","",IF($L14="","",IF(O14&gt;=$L14/4,"On Track",IF(O14&gt;=$L14/4*0.85,"Watch","Needs Attention"))))</f>
        <v/>
      </c>
      <c r="Q14" s="12" t="n"/>
      <c r="R14" s="13">
        <f>IF(Q14="","",IF($L14="","",IF(Q14&gt;=$L14/4,"On Track",IF(Q14&gt;=$L14/4*0.85,"Watch","Needs Attention"))))</f>
        <v/>
      </c>
      <c r="S14" s="12" t="n"/>
      <c r="T14" s="13">
        <f>IF(S14="","",IF($L14="","",IF(S14&gt;=$L14/4,"On Track",IF(S14&gt;=$L14/4*0.85,"Watch","Needs Attention"))))</f>
        <v/>
      </c>
      <c r="U14" s="14">
        <f>IF(COUNTA(M14,O14,Q14,S14)=0,"",SUM(M14,O14,Q14,S14))</f>
        <v/>
      </c>
      <c r="V14" s="15">
        <f>IF(U14="","",IF($L14="","",IF(U14&gt;=$L14,"On Track",IF(U14&gt;=$L14*0.85,"Watch","Needs Attention"))))</f>
        <v/>
      </c>
      <c r="W14" t="inlineStr"/>
    </row>
    <row r="15" ht="32" customHeight="1">
      <c r="A15" s="6" t="inlineStr">
        <is>
          <t>FCP-14</t>
        </is>
      </c>
      <c r="B15" s="6" t="inlineStr">
        <is>
          <t>Goal 3</t>
        </is>
      </c>
      <c r="C15" s="6" t="inlineStr">
        <is>
          <t>Strong, trusted partnerships to address shared challenges</t>
        </is>
      </c>
      <c r="D15" s="6" t="inlineStr">
        <is>
          <t>Number of active neighborhood and community partners</t>
        </is>
      </c>
      <c r="E15" s="6" t="inlineStr">
        <is>
          <t>Count of active organizations, neighborhood groups, schools, artists, and community-based partners involved during the reporting period.</t>
        </is>
      </c>
      <c r="F15" s="6" t="inlineStr">
        <is>
          <t>Capacity</t>
        </is>
      </c>
      <c r="G15" s="6" t="inlineStr">
        <is>
          <t>Partnership log</t>
        </is>
      </c>
      <c r="H15" s="6" t="inlineStr">
        <is>
          <t>Quarterly / Annually</t>
        </is>
      </c>
      <c r="I15" s="6" t="inlineStr">
        <is>
          <t>Community engagement staff</t>
        </is>
      </c>
      <c r="J15" s="6" t="inlineStr">
        <is>
          <t>Board</t>
        </is>
      </c>
      <c r="K15" s="12" t="n"/>
      <c r="L15" s="12" t="n"/>
      <c r="M15" s="12" t="n"/>
      <c r="N15" s="13">
        <f>IF(M15="","",IF($L15="","",IF(M15&gt;=$L15/4,"On Track",IF(M15&gt;=$L15/4*0.85,"Watch","Needs Attention"))))</f>
        <v/>
      </c>
      <c r="O15" s="12" t="n"/>
      <c r="P15" s="13">
        <f>IF(O15="","",IF($L15="","",IF(O15&gt;=$L15/4,"On Track",IF(O15&gt;=$L15/4*0.85,"Watch","Needs Attention"))))</f>
        <v/>
      </c>
      <c r="Q15" s="12" t="n"/>
      <c r="R15" s="13">
        <f>IF(Q15="","",IF($L15="","",IF(Q15&gt;=$L15/4,"On Track",IF(Q15&gt;=$L15/4*0.85,"Watch","Needs Attention"))))</f>
        <v/>
      </c>
      <c r="S15" s="12" t="n"/>
      <c r="T15" s="13">
        <f>IF(S15="","",IF($L15="","",IF(S15&gt;=$L15/4,"On Track",IF(S15&gt;=$L15/4*0.85,"Watch","Needs Attention"))))</f>
        <v/>
      </c>
      <c r="U15" s="14">
        <f>IF(COUNTA(M15,O15,Q15,S15)=0,"",SUM(M15,O15,Q15,S15))</f>
        <v/>
      </c>
      <c r="V15" s="15">
        <f>IF(U15="","",IF($L15="","",IF(U15&gt;=$L15,"On Track",IF(U15&gt;=$L15*0.85,"Watch","Needs Attention"))))</f>
        <v/>
      </c>
      <c r="W15" t="inlineStr"/>
    </row>
    <row r="16" ht="32" customHeight="1">
      <c r="A16" s="6" t="inlineStr">
        <is>
          <t>FCP-15</t>
        </is>
      </c>
      <c r="B16" s="6" t="inlineStr">
        <is>
          <t>Goal 3</t>
        </is>
      </c>
      <c r="C16" s="6" t="inlineStr">
        <is>
          <t>Strong, trusted partnerships to address shared challenges</t>
        </is>
      </c>
      <c r="D16" s="6" t="inlineStr">
        <is>
          <t>Number of co-designed or co-delivered community programs</t>
        </is>
      </c>
      <c r="E16" s="6" t="inlineStr">
        <is>
          <t>Count of programs, services, or events shaped or delivered with community members or local organizations.</t>
        </is>
      </c>
      <c r="F16" s="6" t="inlineStr">
        <is>
          <t>Capacity / Output</t>
        </is>
      </c>
      <c r="G16" s="6" t="inlineStr">
        <is>
          <t>Partnership log, program tracking form</t>
        </is>
      </c>
      <c r="H16" s="6" t="inlineStr">
        <is>
          <t>Quarterly</t>
        </is>
      </c>
      <c r="I16" s="6" t="inlineStr">
        <is>
          <t>Community engagement staff, branch managers</t>
        </is>
      </c>
      <c r="J16" s="6" t="inlineStr">
        <is>
          <t>Board + Management</t>
        </is>
      </c>
      <c r="K16" s="12" t="n"/>
      <c r="L16" s="12" t="n"/>
      <c r="M16" s="12" t="n"/>
      <c r="N16" s="13">
        <f>IF(M16="","",IF($L16="","",IF(M16&gt;=$L16/4,"On Track",IF(M16&gt;=$L16/4*0.85,"Watch","Needs Attention"))))</f>
        <v/>
      </c>
      <c r="O16" s="12" t="n"/>
      <c r="P16" s="13">
        <f>IF(O16="","",IF($L16="","",IF(O16&gt;=$L16/4,"On Track",IF(O16&gt;=$L16/4*0.85,"Watch","Needs Attention"))))</f>
        <v/>
      </c>
      <c r="Q16" s="12" t="n"/>
      <c r="R16" s="13">
        <f>IF(Q16="","",IF($L16="","",IF(Q16&gt;=$L16/4,"On Track",IF(Q16&gt;=$L16/4*0.85,"Watch","Needs Attention"))))</f>
        <v/>
      </c>
      <c r="S16" s="12" t="n"/>
      <c r="T16" s="13">
        <f>IF(S16="","",IF($L16="","",IF(S16&gt;=$L16/4,"On Track",IF(S16&gt;=$L16/4*0.85,"Watch","Needs Attention"))))</f>
        <v/>
      </c>
      <c r="U16" s="14">
        <f>IF(COUNTA(M16,O16,Q16,S16)=0,"",SUM(M16,O16,Q16,S16))</f>
        <v/>
      </c>
      <c r="V16" s="15">
        <f>IF(U16="","",IF($L16="","",IF(U16&gt;=$L16,"On Track",IF(U16&gt;=$L16*0.85,"Watch","Needs Attention"))))</f>
        <v/>
      </c>
      <c r="W16" t="inlineStr"/>
    </row>
    <row r="17" ht="32" customHeight="1">
      <c r="A17" s="6" t="inlineStr">
        <is>
          <t>FCP-16</t>
        </is>
      </c>
      <c r="B17" s="6" t="inlineStr">
        <is>
          <t>Goal 3</t>
        </is>
      </c>
      <c r="C17" s="6" t="inlineStr">
        <is>
          <t>Access to opportunities for civic participation, community dialogue, and social connection</t>
        </is>
      </c>
      <c r="D17" s="6" t="inlineStr">
        <is>
          <t>Number of neighborhood-based outreach or engagement activities</t>
        </is>
      </c>
      <c r="E17" s="6" t="inlineStr">
        <is>
          <t>Count of outreach sessions, listening posts, pop-ups, and neighborhood engagement activities held outside or alongside traditional library spaces.</t>
        </is>
      </c>
      <c r="F17" s="6" t="inlineStr">
        <is>
          <t>Output</t>
        </is>
      </c>
      <c r="G17" s="6" t="inlineStr">
        <is>
          <t>Outreach logs</t>
        </is>
      </c>
      <c r="H17" s="6" t="inlineStr">
        <is>
          <t>Quarterly</t>
        </is>
      </c>
      <c r="I17" s="6" t="inlineStr">
        <is>
          <t>Community engagement staff, branches</t>
        </is>
      </c>
      <c r="J17" s="6" t="inlineStr">
        <is>
          <t>Management</t>
        </is>
      </c>
      <c r="K17" s="12" t="n"/>
      <c r="L17" s="12" t="n"/>
      <c r="M17" s="12" t="n"/>
      <c r="N17" s="13">
        <f>IF(M17="","",IF($L17="","",IF(M17&gt;=$L17/4,"On Track",IF(M17&gt;=$L17/4*0.85,"Watch","Needs Attention"))))</f>
        <v/>
      </c>
      <c r="O17" s="12" t="n"/>
      <c r="P17" s="13">
        <f>IF(O17="","",IF($L17="","",IF(O17&gt;=$L17/4,"On Track",IF(O17&gt;=$L17/4*0.85,"Watch","Needs Attention"))))</f>
        <v/>
      </c>
      <c r="Q17" s="12" t="n"/>
      <c r="R17" s="13">
        <f>IF(Q17="","",IF($L17="","",IF(Q17&gt;=$L17/4,"On Track",IF(Q17&gt;=$L17/4*0.85,"Watch","Needs Attention"))))</f>
        <v/>
      </c>
      <c r="S17" s="12" t="n"/>
      <c r="T17" s="13">
        <f>IF(S17="","",IF($L17="","",IF(S17&gt;=$L17/4,"On Track",IF(S17&gt;=$L17/4*0.85,"Watch","Needs Attention"))))</f>
        <v/>
      </c>
      <c r="U17" s="14">
        <f>IF(COUNTA(M17,O17,Q17,S17)=0,"",SUM(M17,O17,Q17,S17))</f>
        <v/>
      </c>
      <c r="V17" s="15">
        <f>IF(U17="","",IF($L17="","",IF(U17&gt;=$L17,"On Track",IF(U17&gt;=$L17*0.85,"Watch","Needs Attention"))))</f>
        <v/>
      </c>
      <c r="W17" t="inlineStr"/>
    </row>
    <row r="18" ht="32" customHeight="1">
      <c r="A18" s="6" t="inlineStr">
        <is>
          <t>FCP-17</t>
        </is>
      </c>
      <c r="B18" s="6" t="inlineStr">
        <is>
          <t>Goal 3</t>
        </is>
      </c>
      <c r="C18" s="6" t="inlineStr">
        <is>
          <t>Strong, trusted partnerships to address shared challenges</t>
        </is>
      </c>
      <c r="D18" s="6" t="inlineStr">
        <is>
          <t>Participation in partner-led or partner-supported programs</t>
        </is>
      </c>
      <c r="E18" s="6" t="inlineStr">
        <is>
          <t>Attendance in programs delivered with or through external community partners.</t>
        </is>
      </c>
      <c r="F18" s="6" t="inlineStr">
        <is>
          <t>Reach</t>
        </is>
      </c>
      <c r="G18" s="6" t="inlineStr">
        <is>
          <t>Program attendance, partner reports</t>
        </is>
      </c>
      <c r="H18" s="6" t="inlineStr">
        <is>
          <t>Quarterly</t>
        </is>
      </c>
      <c r="I18" s="6" t="inlineStr">
        <is>
          <t>Data team, community engagement staff</t>
        </is>
      </c>
      <c r="J18" s="6" t="inlineStr">
        <is>
          <t>Management</t>
        </is>
      </c>
      <c r="K18" s="12" t="n"/>
      <c r="L18" s="12" t="n"/>
      <c r="M18" s="12" t="n"/>
      <c r="N18" s="13">
        <f>IF(M18="","",IF($L18="","",IF(M18&gt;=$L18/4,"On Track",IF(M18&gt;=$L18/4*0.85,"Watch","Needs Attention"))))</f>
        <v/>
      </c>
      <c r="O18" s="12" t="n"/>
      <c r="P18" s="13">
        <f>IF(O18="","",IF($L18="","",IF(O18&gt;=$L18/4,"On Track",IF(O18&gt;=$L18/4*0.85,"Watch","Needs Attention"))))</f>
        <v/>
      </c>
      <c r="Q18" s="12" t="n"/>
      <c r="R18" s="13">
        <f>IF(Q18="","",IF($L18="","",IF(Q18&gt;=$L18/4,"On Track",IF(Q18&gt;=$L18/4*0.85,"Watch","Needs Attention"))))</f>
        <v/>
      </c>
      <c r="S18" s="12" t="n"/>
      <c r="T18" s="13">
        <f>IF(S18="","",IF($L18="","",IF(S18&gt;=$L18/4,"On Track",IF(S18&gt;=$L18/4*0.85,"Watch","Needs Attention"))))</f>
        <v/>
      </c>
      <c r="U18" s="14">
        <f>IF(COUNTA(M18,O18,Q18,S18)=0,"",SUM(M18,O18,Q18,S18))</f>
        <v/>
      </c>
      <c r="V18" s="15">
        <f>IF(U18="","",IF($L18="","",IF(U18&gt;=$L18,"On Track",IF(U18&gt;=$L18*0.85,"Watch","Needs Attention"))))</f>
        <v/>
      </c>
      <c r="W18" t="inlineStr"/>
    </row>
    <row r="19" ht="32" customHeight="1">
      <c r="A19" s="6" t="inlineStr">
        <is>
          <t>FCP-18</t>
        </is>
      </c>
      <c r="B19" s="6" t="inlineStr">
        <is>
          <t>Goal 3</t>
        </is>
      </c>
      <c r="C19" s="6" t="inlineStr">
        <is>
          <t>Access to opportunities for civic participation, community dialogue, and social connection</t>
        </is>
      </c>
      <c r="D19" s="6" t="inlineStr">
        <is>
          <t>Repeat participation rate in community pride programming</t>
        </is>
      </c>
      <c r="E19" s="6" t="inlineStr">
        <is>
          <t>Percentage of participants who attend more than one community pride program within the reporting period.</t>
        </is>
      </c>
      <c r="F19" s="6" t="inlineStr">
        <is>
          <t>Reach / Outcome</t>
        </is>
      </c>
      <c r="G19" s="6" t="inlineStr">
        <is>
          <t>Registration system, attendance records</t>
        </is>
      </c>
      <c r="H19" s="6" t="inlineStr">
        <is>
          <t>Quarterly</t>
        </is>
      </c>
      <c r="I19" s="6" t="inlineStr">
        <is>
          <t>Data team</t>
        </is>
      </c>
      <c r="J19" s="6" t="inlineStr">
        <is>
          <t>Management</t>
        </is>
      </c>
      <c r="K19" s="12" t="n"/>
      <c r="L19" s="12" t="n"/>
      <c r="M19" s="12" t="n"/>
      <c r="N19" s="13">
        <f>IF(M19="","",IF($L19="","",IF(M19&gt;=$L19/4,"On Track",IF(M19&gt;=$L19/4*0.85,"Watch","Needs Attention"))))</f>
        <v/>
      </c>
      <c r="O19" s="12" t="n"/>
      <c r="P19" s="13">
        <f>IF(O19="","",IF($L19="","",IF(O19&gt;=$L19/4,"On Track",IF(O19&gt;=$L19/4*0.85,"Watch","Needs Attention"))))</f>
        <v/>
      </c>
      <c r="Q19" s="12" t="n"/>
      <c r="R19" s="13">
        <f>IF(Q19="","",IF($L19="","",IF(Q19&gt;=$L19/4,"On Track",IF(Q19&gt;=$L19/4*0.85,"Watch","Needs Attention"))))</f>
        <v/>
      </c>
      <c r="S19" s="12" t="n"/>
      <c r="T19" s="13">
        <f>IF(S19="","",IF($L19="","",IF(S19&gt;=$L19/4,"On Track",IF(S19&gt;=$L19/4*0.85,"Watch","Needs Attention"))))</f>
        <v/>
      </c>
      <c r="U19" s="14">
        <f>IF(COUNTA(M19,O19,Q19,S19)=0,"",SUM(M19,O19,Q19,S19))</f>
        <v/>
      </c>
      <c r="V19" s="15">
        <f>IF(U19="","",IF($L19="","",IF(U19&gt;=$L19,"On Track",IF(U19&gt;=$L19*0.85,"Watch","Needs Attention"))))</f>
        <v/>
      </c>
      <c r="W19" t="inlineStr"/>
    </row>
    <row r="20" ht="32" customHeight="1">
      <c r="A20" s="6" t="inlineStr">
        <is>
          <t>FCP-19</t>
        </is>
      </c>
      <c r="B20" s="6" t="inlineStr">
        <is>
          <t>Goal 3</t>
        </is>
      </c>
      <c r="C20" s="6" t="inlineStr">
        <is>
          <t>Increase language access and culturally relevant content through partnerships and bilingual support</t>
        </is>
      </c>
      <c r="D20" s="6" t="inlineStr">
        <is>
          <t>Number of bilingual or language-access-supported programs and resources</t>
        </is>
      </c>
      <c r="E20" s="6" t="inlineStr">
        <is>
          <t>Count of programs, exhibits, materials, or civic resources offered with bilingual support, translation, or interpretation.</t>
        </is>
      </c>
      <c r="F20" s="6" t="inlineStr">
        <is>
          <t>Output</t>
        </is>
      </c>
      <c r="G20" s="6" t="inlineStr">
        <is>
          <t>Program logs, outreach logs</t>
        </is>
      </c>
      <c r="H20" s="6" t="inlineStr">
        <is>
          <t>Quarterly</t>
        </is>
      </c>
      <c r="I20" s="6" t="inlineStr">
        <is>
          <t>Program staff, language access partners</t>
        </is>
      </c>
      <c r="J20" s="6" t="inlineStr">
        <is>
          <t>Board + Management</t>
        </is>
      </c>
      <c r="K20" s="12" t="n"/>
      <c r="L20" s="12" t="n"/>
      <c r="M20" s="12" t="n"/>
      <c r="N20" s="13">
        <f>IF(M20="","",IF($L20="","",IF(M20&gt;=$L20/4,"On Track",IF(M20&gt;=$L20/4*0.85,"Watch","Needs Attention"))))</f>
        <v/>
      </c>
      <c r="O20" s="12" t="n"/>
      <c r="P20" s="13">
        <f>IF(O20="","",IF($L20="","",IF(O20&gt;=$L20/4,"On Track",IF(O20&gt;=$L20/4*0.85,"Watch","Needs Attention"))))</f>
        <v/>
      </c>
      <c r="Q20" s="12" t="n"/>
      <c r="R20" s="13">
        <f>IF(Q20="","",IF($L20="","",IF(Q20&gt;=$L20/4,"On Track",IF(Q20&gt;=$L20/4*0.85,"Watch","Needs Attention"))))</f>
        <v/>
      </c>
      <c r="S20" s="12" t="n"/>
      <c r="T20" s="13">
        <f>IF(S20="","",IF($L20="","",IF(S20&gt;=$L20/4,"On Track",IF(S20&gt;=$L20/4*0.85,"Watch","Needs Attention"))))</f>
        <v/>
      </c>
      <c r="U20" s="14">
        <f>IF(COUNTA(M20,O20,Q20,S20)=0,"",SUM(M20,O20,Q20,S20))</f>
        <v/>
      </c>
      <c r="V20" s="15">
        <f>IF(U20="","",IF($L20="","",IF(U20&gt;=$L20,"On Track",IF(U20&gt;=$L20*0.85,"Watch","Needs Attention"))))</f>
        <v/>
      </c>
      <c r="W20" t="inlineStr"/>
    </row>
    <row r="21" ht="32" customHeight="1">
      <c r="A21" s="6" t="inlineStr">
        <is>
          <t>FCP-20</t>
        </is>
      </c>
      <c r="B21" s="6" t="inlineStr">
        <is>
          <t>Goal 3</t>
        </is>
      </c>
      <c r="C21" s="6" t="inlineStr">
        <is>
          <t>Increase language access and culturally relevant content through partnerships and bilingual support</t>
        </is>
      </c>
      <c r="D21" s="6" t="inlineStr">
        <is>
          <t>Percentage of participants reporting content felt culturally relevant and welcoming</t>
        </is>
      </c>
      <c r="E21" s="6" t="inlineStr">
        <is>
          <t>Share of surveyed participants who say the content reflected their community, language, culture, or lived experience.</t>
        </is>
      </c>
      <c r="F21" s="6" t="inlineStr">
        <is>
          <t>Outcome</t>
        </is>
      </c>
      <c r="G21" s="6" t="inlineStr">
        <is>
          <t>Participant survey</t>
        </is>
      </c>
      <c r="H21" s="6" t="inlineStr">
        <is>
          <t>Quarterly</t>
        </is>
      </c>
      <c r="I21" s="6" t="inlineStr">
        <is>
          <t>Program staff, data team</t>
        </is>
      </c>
      <c r="J21" s="6" t="inlineStr">
        <is>
          <t>Board</t>
        </is>
      </c>
      <c r="K21" s="12" t="n"/>
      <c r="L21" s="12" t="n"/>
      <c r="M21" s="12" t="n"/>
      <c r="N21" s="13">
        <f>IF(M21="","",IF($L21="","",IF(M21&gt;=$L21/4,"On Track",IF(M21&gt;=$L21/4*0.85,"Watch","Needs Attention"))))</f>
        <v/>
      </c>
      <c r="O21" s="12" t="n"/>
      <c r="P21" s="13">
        <f>IF(O21="","",IF($L21="","",IF(O21&gt;=$L21/4,"On Track",IF(O21&gt;=$L21/4*0.85,"Watch","Needs Attention"))))</f>
        <v/>
      </c>
      <c r="Q21" s="12" t="n"/>
      <c r="R21" s="13">
        <f>IF(Q21="","",IF($L21="","",IF(Q21&gt;=$L21/4,"On Track",IF(Q21&gt;=$L21/4*0.85,"Watch","Needs Attention"))))</f>
        <v/>
      </c>
      <c r="S21" s="12" t="n"/>
      <c r="T21" s="13">
        <f>IF(S21="","",IF($L21="","",IF(S21&gt;=$L21/4,"On Track",IF(S21&gt;=$L21/4*0.85,"Watch","Needs Attention"))))</f>
        <v/>
      </c>
      <c r="U21" s="14">
        <f>IF(COUNTA(M21,O21,Q21,S21)=0,"",SUM(M21,O21,Q21,S21))</f>
        <v/>
      </c>
      <c r="V21" s="15">
        <f>IF(U21="","",IF($L21="","",IF(U21&gt;=$L21,"On Track",IF(U21&gt;=$L21*0.85,"Watch","Needs Attention"))))</f>
        <v/>
      </c>
      <c r="W21" t="inlineStr"/>
    </row>
    <row r="22" ht="32" customHeight="1">
      <c r="A22" s="6" t="inlineStr">
        <is>
          <t>FCP-21</t>
        </is>
      </c>
      <c r="B22" s="6" t="inlineStr">
        <is>
          <t>Goal 3</t>
        </is>
      </c>
      <c r="C22" s="6" t="inlineStr">
        <is>
          <t>Strong, trusted partnerships to address shared challenges</t>
        </is>
      </c>
      <c r="D22" s="6" t="inlineStr">
        <is>
          <t>Percentage of branches participating in community pride initiatives each quarter</t>
        </is>
      </c>
      <c r="E22" s="6" t="inlineStr">
        <is>
          <t>Share of branches that hosted or supported at least one community pride, civic, history, or culture activity during the quarter.</t>
        </is>
      </c>
      <c r="F22" s="6" t="inlineStr">
        <is>
          <t>Capacity / Reach</t>
        </is>
      </c>
      <c r="G22" s="6" t="inlineStr">
        <is>
          <t>Program tracking form</t>
        </is>
      </c>
      <c r="H22" s="6" t="inlineStr">
        <is>
          <t>Quarterly</t>
        </is>
      </c>
      <c r="I22" s="6" t="inlineStr">
        <is>
          <t>Programming leadership</t>
        </is>
      </c>
      <c r="J22" s="6" t="inlineStr">
        <is>
          <t>Board + Management</t>
        </is>
      </c>
      <c r="K22" s="12" t="n"/>
      <c r="L22" s="12" t="n"/>
      <c r="M22" s="12" t="n"/>
      <c r="N22" s="13">
        <f>IF(M22="","",IF($L22="","",IF(M22&gt;=$L22/4,"On Track",IF(M22&gt;=$L22/4*0.85,"Watch","Needs Attention"))))</f>
        <v/>
      </c>
      <c r="O22" s="12" t="n"/>
      <c r="P22" s="13">
        <f>IF(O22="","",IF($L22="","",IF(O22&gt;=$L22/4,"On Track",IF(O22&gt;=$L22/4*0.85,"Watch","Needs Attention"))))</f>
        <v/>
      </c>
      <c r="Q22" s="12" t="n"/>
      <c r="R22" s="13">
        <f>IF(Q22="","",IF($L22="","",IF(Q22&gt;=$L22/4,"On Track",IF(Q22&gt;=$L22/4*0.85,"Watch","Needs Attention"))))</f>
        <v/>
      </c>
      <c r="S22" s="12" t="n"/>
      <c r="T22" s="13">
        <f>IF(S22="","",IF($L22="","",IF(S22&gt;=$L22/4,"On Track",IF(S22&gt;=$L22/4*0.85,"Watch","Needs Attention"))))</f>
        <v/>
      </c>
      <c r="U22" s="14">
        <f>IF(COUNTA(M22,O22,Q22,S22)=0,"",SUM(M22,O22,Q22,S22))</f>
        <v/>
      </c>
      <c r="V22" s="15">
        <f>IF(U22="","",IF($L22="","",IF(U22&gt;=$L22,"On Track",IF(U22&gt;=$L22*0.85,"Watch","Needs Attention"))))</f>
        <v/>
      </c>
      <c r="W22" t="inlineStr"/>
    </row>
    <row r="23" ht="32" customHeight="1">
      <c r="A23" s="6" t="inlineStr">
        <is>
          <t>FCP-22</t>
        </is>
      </c>
      <c r="B23" s="6" t="inlineStr">
        <is>
          <t>Goal 1</t>
        </is>
      </c>
      <c r="C23" s="6" t="inlineStr">
        <is>
          <t>Access to opportunities for civic participation, community dialogue, and social connection</t>
        </is>
      </c>
      <c r="D23" s="6" t="inlineStr">
        <is>
          <t>Unique participants in community pride programming</t>
        </is>
      </c>
      <c r="E23" s="6" t="inlineStr">
        <is>
          <t>Count of unduplicated participants in civic, culture, history, and community connection programming within the reporting period.</t>
        </is>
      </c>
      <c r="F23" s="6" t="inlineStr">
        <is>
          <t>Reach</t>
        </is>
      </c>
      <c r="G23" s="6" t="inlineStr">
        <is>
          <t>Registration data, CRM, attendance forms</t>
        </is>
      </c>
      <c r="H23" s="6" t="inlineStr">
        <is>
          <t>Quarterly</t>
        </is>
      </c>
      <c r="I23" s="6" t="inlineStr">
        <is>
          <t>Data team</t>
        </is>
      </c>
      <c r="J23" s="6" t="inlineStr">
        <is>
          <t>Board</t>
        </is>
      </c>
      <c r="K23" s="12" t="n"/>
      <c r="L23" s="12" t="n"/>
      <c r="M23" s="12" t="n"/>
      <c r="N23" s="13">
        <f>IF(M23="","",IF($L23="","",IF(M23&gt;=$L23/4,"On Track",IF(M23&gt;=$L23/4*0.85,"Watch","Needs Attention"))))</f>
        <v/>
      </c>
      <c r="O23" s="12" t="n"/>
      <c r="P23" s="13">
        <f>IF(O23="","",IF($L23="","",IF(O23&gt;=$L23/4,"On Track",IF(O23&gt;=$L23/4*0.85,"Watch","Needs Attention"))))</f>
        <v/>
      </c>
      <c r="Q23" s="12" t="n"/>
      <c r="R23" s="13">
        <f>IF(Q23="","",IF($L23="","",IF(Q23&gt;=$L23/4,"On Track",IF(Q23&gt;=$L23/4*0.85,"Watch","Needs Attention"))))</f>
        <v/>
      </c>
      <c r="S23" s="12" t="n"/>
      <c r="T23" s="13">
        <f>IF(S23="","",IF($L23="","",IF(S23&gt;=$L23/4,"On Track",IF(S23&gt;=$L23/4*0.85,"Watch","Needs Attention"))))</f>
        <v/>
      </c>
      <c r="U23" s="14">
        <f>IF(COUNTA(M23,O23,Q23,S23)=0,"",SUM(M23,O23,Q23,S23))</f>
        <v/>
      </c>
      <c r="V23" s="15">
        <f>IF(U23="","",IF($L23="","",IF(U23&gt;=$L23,"On Track",IF(U23&gt;=$L23*0.85,"Watch","Needs Attention"))))</f>
        <v/>
      </c>
      <c r="W23" t="inlineStr"/>
    </row>
    <row r="24" ht="32" customHeight="1">
      <c r="A24" s="6" t="inlineStr">
        <is>
          <t>FCP-23</t>
        </is>
      </c>
      <c r="B24" s="6" t="inlineStr">
        <is>
          <t>Goal 2</t>
        </is>
      </c>
      <c r="C24" s="6" t="inlineStr">
        <is>
          <t>Access to local history and cultural knowledge that reflects the community</t>
        </is>
      </c>
      <c r="D24" s="6" t="inlineStr">
        <is>
          <t>Street Sheets distribution or use</t>
        </is>
      </c>
      <c r="E24" s="6" t="inlineStr">
        <is>
          <t>Number of Street Sheets distributed, accessed, or used as a connection point to information and community resources.</t>
        </is>
      </c>
      <c r="F24" s="6" t="inlineStr">
        <is>
          <t>Output / Reach</t>
        </is>
      </c>
      <c r="G24" s="6" t="inlineStr">
        <is>
          <t>Street Sheets distribution logs</t>
        </is>
      </c>
      <c r="H24" s="6" t="inlineStr">
        <is>
          <t>Monthly / Quarterly</t>
        </is>
      </c>
      <c r="I24" s="6" t="inlineStr">
        <is>
          <t>Street Sheets staff, outreach staff</t>
        </is>
      </c>
      <c r="J24" s="6" t="inlineStr">
        <is>
          <t>Management</t>
        </is>
      </c>
      <c r="K24" s="12" t="n"/>
      <c r="L24" s="12" t="n"/>
      <c r="M24" s="12" t="n"/>
      <c r="N24" s="13">
        <f>IF(M24="","",IF($L24="","",IF(M24&gt;=$L24/4,"On Track",IF(M24&gt;=$L24/4*0.85,"Watch","Needs Attention"))))</f>
        <v/>
      </c>
      <c r="O24" s="12" t="n"/>
      <c r="P24" s="13">
        <f>IF(O24="","",IF($L24="","",IF(O24&gt;=$L24/4,"On Track",IF(O24&gt;=$L24/4*0.85,"Watch","Needs Attention"))))</f>
        <v/>
      </c>
      <c r="Q24" s="12" t="n"/>
      <c r="R24" s="13">
        <f>IF(Q24="","",IF($L24="","",IF(Q24&gt;=$L24/4,"On Track",IF(Q24&gt;=$L24/4*0.85,"Watch","Needs Attention"))))</f>
        <v/>
      </c>
      <c r="S24" s="12" t="n"/>
      <c r="T24" s="13">
        <f>IF(S24="","",IF($L24="","",IF(S24&gt;=$L24/4,"On Track",IF(S24&gt;=$L24/4*0.85,"Watch","Needs Attention"))))</f>
        <v/>
      </c>
      <c r="U24" s="14">
        <f>IF(COUNTA(M24,O24,Q24,S24)=0,"",SUM(M24,O24,Q24,S24))</f>
        <v/>
      </c>
      <c r="V24" s="15">
        <f>IF(U24="","",IF($L24="","",IF(U24&gt;=$L24,"On Track",IF(U24&gt;=$L24*0.85,"Watch","Needs Attention"))))</f>
        <v/>
      </c>
      <c r="W24" t="inlineStr"/>
    </row>
    <row r="25" ht="32" customHeight="1">
      <c r="A25" s="6" t="inlineStr">
        <is>
          <t>FCP-24</t>
        </is>
      </c>
      <c r="B25" s="6" t="inlineStr">
        <is>
          <t>Goal 1</t>
        </is>
      </c>
      <c r="C25" s="6" t="inlineStr">
        <is>
          <t>Spaces that support respectful, inclusive dialogue</t>
        </is>
      </c>
      <c r="D25" s="6" t="inlineStr">
        <is>
          <t>Percentage of civic dialogue programs using a facilitated discussion model or ground rules</t>
        </is>
      </c>
      <c r="E25" s="6" t="inlineStr">
        <is>
          <t>Share of civic and dialogue programs that used trained facilitation, discussion guides, or explicit community agreements.</t>
        </is>
      </c>
      <c r="F25" s="6" t="inlineStr">
        <is>
          <t>Quality</t>
        </is>
      </c>
      <c r="G25" s="6" t="inlineStr">
        <is>
          <t>Program planning log</t>
        </is>
      </c>
      <c r="H25" s="6" t="inlineStr">
        <is>
          <t>Quarterly</t>
        </is>
      </c>
      <c r="I25" s="6" t="inlineStr">
        <is>
          <t>Community engagement staff</t>
        </is>
      </c>
      <c r="J25" s="6" t="inlineStr">
        <is>
          <t>Management</t>
        </is>
      </c>
      <c r="K25" s="12" t="n"/>
      <c r="L25" s="12" t="n"/>
      <c r="M25" s="12" t="n"/>
      <c r="N25" s="13">
        <f>IF(M25="","",IF($L25="","",IF(M25&gt;=$L25/4,"On Track",IF(M25&gt;=$L25/4*0.85,"Watch","Needs Attention"))))</f>
        <v/>
      </c>
      <c r="O25" s="12" t="n"/>
      <c r="P25" s="13">
        <f>IF(O25="","",IF($L25="","",IF(O25&gt;=$L25/4,"On Track",IF(O25&gt;=$L25/4*0.85,"Watch","Needs Attention"))))</f>
        <v/>
      </c>
      <c r="Q25" s="12" t="n"/>
      <c r="R25" s="13">
        <f>IF(Q25="","",IF($L25="","",IF(Q25&gt;=$L25/4,"On Track",IF(Q25&gt;=$L25/4*0.85,"Watch","Needs Attention"))))</f>
        <v/>
      </c>
      <c r="S25" s="12" t="n"/>
      <c r="T25" s="13">
        <f>IF(S25="","",IF($L25="","",IF(S25&gt;=$L25/4,"On Track",IF(S25&gt;=$L25/4*0.85,"Watch","Needs Attention"))))</f>
        <v/>
      </c>
      <c r="U25" s="14">
        <f>IF(COUNTA(M25,O25,Q25,S25)=0,"",SUM(M25,O25,Q25,S25))</f>
        <v/>
      </c>
      <c r="V25" s="15">
        <f>IF(U25="","",IF($L25="","",IF(U25&gt;=$L25,"On Track",IF(U25&gt;=$L25*0.85,"Watch","Needs Attention"))))</f>
        <v/>
      </c>
      <c r="W25" t="inlineStr"/>
    </row>
    <row r="26" ht="32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12" t="n"/>
      <c r="L26" s="12" t="n"/>
      <c r="M26" s="12" t="n"/>
      <c r="N26" s="13" t="n"/>
      <c r="O26" s="12" t="n"/>
      <c r="P26" s="13" t="n"/>
      <c r="Q26" s="12" t="n"/>
      <c r="R26" s="13" t="n"/>
      <c r="S26" s="12" t="n"/>
      <c r="T26" s="13" t="n"/>
      <c r="U26" s="14" t="n"/>
      <c r="V26" s="15" t="n"/>
    </row>
    <row r="27" ht="32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12" t="n"/>
      <c r="L27" s="12" t="n"/>
      <c r="M27" s="12" t="n"/>
      <c r="N27" s="13" t="n"/>
      <c r="O27" s="12" t="n"/>
      <c r="P27" s="13" t="n"/>
      <c r="Q27" s="12" t="n"/>
      <c r="R27" s="13" t="n"/>
      <c r="S27" s="12" t="n"/>
      <c r="T27" s="13" t="n"/>
      <c r="U27" s="14" t="n"/>
      <c r="V27" s="15" t="n"/>
    </row>
    <row r="28" ht="3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12" t="n"/>
      <c r="L28" s="12" t="n"/>
      <c r="M28" s="12" t="n"/>
      <c r="N28" s="13" t="n"/>
      <c r="O28" s="12" t="n"/>
      <c r="P28" s="13" t="n"/>
      <c r="Q28" s="12" t="n"/>
      <c r="R28" s="13" t="n"/>
      <c r="S28" s="12" t="n"/>
      <c r="T28" s="13" t="n"/>
      <c r="U28" s="14" t="n"/>
      <c r="V28" s="15" t="n"/>
    </row>
    <row r="29" ht="32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12" t="n"/>
      <c r="L29" s="12" t="n"/>
      <c r="M29" s="12" t="n"/>
      <c r="N29" s="13" t="n"/>
      <c r="O29" s="12" t="n"/>
      <c r="P29" s="13" t="n"/>
      <c r="Q29" s="12" t="n"/>
      <c r="R29" s="13" t="n"/>
      <c r="S29" s="12" t="n"/>
      <c r="T29" s="13" t="n"/>
      <c r="U29" s="14" t="n"/>
      <c r="V29" s="15" t="n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conditionalFormatting sqref="N2:N29">
    <cfRule type="expression" priority="1" dxfId="0">
      <formula>N2="On Track"</formula>
    </cfRule>
    <cfRule type="expression" priority="2" dxfId="1">
      <formula>N2="Watch"</formula>
    </cfRule>
    <cfRule type="expression" priority="3" dxfId="2">
      <formula>N2="Needs Attention"</formula>
    </cfRule>
  </conditionalFormatting>
  <conditionalFormatting sqref="P2:P29">
    <cfRule type="expression" priority="4" dxfId="0">
      <formula>P2="On Track"</formula>
    </cfRule>
    <cfRule type="expression" priority="5" dxfId="1">
      <formula>P2="Watch"</formula>
    </cfRule>
    <cfRule type="expression" priority="6" dxfId="2">
      <formula>P2="Needs Attention"</formula>
    </cfRule>
  </conditionalFormatting>
  <conditionalFormatting sqref="R2:R29">
    <cfRule type="expression" priority="7" dxfId="0">
      <formula>R2="On Track"</formula>
    </cfRule>
    <cfRule type="expression" priority="8" dxfId="1">
      <formula>R2="Watch"</formula>
    </cfRule>
    <cfRule type="expression" priority="9" dxfId="2">
      <formula>R2="Needs Attention"</formula>
    </cfRule>
  </conditionalFormatting>
  <conditionalFormatting sqref="T2:T29">
    <cfRule type="expression" priority="10" dxfId="0">
      <formula>T2="On Track"</formula>
    </cfRule>
    <cfRule type="expression" priority="11" dxfId="1">
      <formula>T2="Watch"</formula>
    </cfRule>
    <cfRule type="expression" priority="12" dxfId="2">
      <formula>T2="Needs Attention"</formula>
    </cfRule>
  </conditionalFormatting>
  <conditionalFormatting sqref="V2:V29">
    <cfRule type="expression" priority="13" dxfId="0">
      <formula>V2="On Track"</formula>
    </cfRule>
    <cfRule type="expression" priority="14" dxfId="1">
      <formula>V2="Watch"</formula>
    </cfRule>
    <cfRule type="expression" priority="15" dxfId="2">
      <formula>V2="Needs Attention"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Field</t>
        </is>
      </c>
      <c r="B1" s="5" t="inlineStr">
        <is>
          <t>Definition / Standard</t>
        </is>
      </c>
    </row>
    <row r="2">
      <c r="A2" s="6" t="inlineStr">
        <is>
          <t>Strategic Priority</t>
        </is>
      </c>
      <c r="B2" s="6" t="inlineStr">
        <is>
          <t>Fostering Community Pride</t>
        </is>
      </c>
    </row>
    <row r="3">
      <c r="A3" s="6" t="inlineStr">
        <is>
          <t>Community pride programming</t>
        </is>
      </c>
      <c r="B3" s="6" t="inlineStr">
        <is>
          <t>Programs, exhibitions, gatherings, dialogues, archives activities, and outreach efforts that bring people together to celebrate local culture, share stories, collaborate, or strengthen civic connection.</t>
        </is>
      </c>
    </row>
    <row r="4">
      <c r="A4" s="6" t="inlineStr">
        <is>
          <t>Civic convener</t>
        </is>
      </c>
      <c r="B4" s="6" t="inlineStr">
        <is>
          <t>The library’s role in hosting trusted, nonpartisan, respectful spaces for dialogue, information sharing, and civic participation.</t>
        </is>
      </c>
    </row>
    <row r="5">
      <c r="A5" s="6" t="inlineStr">
        <is>
          <t>Community-shaped program</t>
        </is>
      </c>
      <c r="B5" s="6" t="inlineStr">
        <is>
          <t>A program, exhibit, event, or service that includes meaningful input, co-design, co-delivery, or advisory feedback from community members or partners.</t>
        </is>
      </c>
    </row>
    <row r="6">
      <c r="A6" s="6" t="inlineStr">
        <is>
          <t>Local history and cultural collections</t>
        </is>
      </c>
      <c r="B6" s="6" t="inlineStr">
        <is>
          <t>Archives, oral histories, neighborhood materials, exhibits, cultural collections, and digital resources that preserve or reflect community memory and identity.</t>
        </is>
      </c>
    </row>
    <row r="7">
      <c r="A7" s="6" t="inlineStr">
        <is>
          <t>Active partner</t>
        </is>
      </c>
      <c r="B7" s="6" t="inlineStr">
        <is>
          <t>A neighborhood group, nonprofit, school, artist, civic organization, or other trusted partner that collaborated during the reporting period.</t>
        </is>
      </c>
    </row>
    <row r="8">
      <c r="A8" s="6" t="inlineStr">
        <is>
          <t>Language access support</t>
        </is>
      </c>
      <c r="B8" s="6" t="inlineStr">
        <is>
          <t>Translation, interpretation, bilingual materials, multilingual outreach, or other adaptations that make programs and resources more accessible.</t>
        </is>
      </c>
    </row>
    <row r="9">
      <c r="A9" s="6" t="inlineStr">
        <is>
          <t>Unique participant</t>
        </is>
      </c>
      <c r="B9" s="6" t="inlineStr">
        <is>
          <t>An unduplicated participant counted once within the selected reporting period.</t>
        </is>
      </c>
    </row>
    <row r="10">
      <c r="A10" s="6" t="inlineStr">
        <is>
          <t>Baseline</t>
        </is>
      </c>
      <c r="B10" s="6" t="inlineStr">
        <is>
          <t>Starting point used for comparison before the target year begins.</t>
        </is>
      </c>
    </row>
    <row r="11">
      <c r="A11" s="6" t="inlineStr">
        <is>
          <t>FY Target</t>
        </is>
      </c>
      <c r="B11" s="6" t="inlineStr">
        <is>
          <t>Expected full-year result for the KPI.</t>
        </is>
      </c>
    </row>
    <row r="12">
      <c r="A12" t="inlineStr">
        <is>
          <t>Status logic</t>
        </is>
      </c>
      <c r="B12" t="inlineStr">
        <is>
          <t>On Track = &gt;=100% of target pace; Watch = 85% to 99% of target pace; Needs Attention = &lt;85% of target pace.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28" customWidth="1" min="5" max="5"/>
    <col width="18" customWidth="1" min="6" max="6"/>
    <col width="42" customWidth="1" min="7" max="7"/>
  </cols>
  <sheetData>
    <row r="1">
      <c r="A1" s="7" t="inlineStr">
        <is>
          <t>Program / Service Area</t>
        </is>
      </c>
      <c r="B1" s="7" t="inlineStr">
        <is>
          <t>Related Offerings</t>
        </is>
      </c>
      <c r="C1" s="7" t="inlineStr">
        <is>
          <t>Primary Goal</t>
        </is>
      </c>
      <c r="D1" s="7" t="inlineStr">
        <is>
          <t>Secondary Goal</t>
        </is>
      </c>
      <c r="E1" s="7" t="inlineStr">
        <is>
          <t>Measurement Pillar</t>
        </is>
      </c>
      <c r="F1" s="7" t="inlineStr">
        <is>
          <t>Include in Board Dashboard?</t>
        </is>
      </c>
      <c r="G1" s="7" t="inlineStr">
        <is>
          <t>Notes</t>
        </is>
      </c>
    </row>
    <row r="2">
      <c r="A2" s="6" t="inlineStr">
        <is>
          <t>Community Events</t>
        </is>
      </c>
      <c r="B2" s="6" t="inlineStr">
        <is>
          <t>Community Events</t>
        </is>
      </c>
      <c r="C2" s="6" t="inlineStr">
        <is>
          <t>Goal 1</t>
        </is>
      </c>
      <c r="D2" s="6" t="inlineStr">
        <is>
          <t>Goal 3</t>
        </is>
      </c>
      <c r="E2" s="6" t="inlineStr">
        <is>
          <t>Civic Participation, Dialogue, and Social Connection</t>
        </is>
      </c>
      <c r="F2" s="6" t="inlineStr">
        <is>
          <t>Yes</t>
        </is>
      </c>
      <c r="G2" s="6" t="inlineStr">
        <is>
          <t>Track forums, dialogues, gatherings, and community connection events.</t>
        </is>
      </c>
    </row>
    <row r="3">
      <c r="A3" s="6" t="inlineStr">
        <is>
          <t>Exhibitions &amp; Gatherings</t>
        </is>
      </c>
      <c r="B3" s="6" t="inlineStr">
        <is>
          <t>Exhibitions &amp; Gatherings</t>
        </is>
      </c>
      <c r="C3" s="6" t="inlineStr">
        <is>
          <t>Goal 2</t>
        </is>
      </c>
      <c r="D3" s="6" t="inlineStr">
        <is>
          <t>Goal 3</t>
        </is>
      </c>
      <c r="E3" s="6" t="inlineStr">
        <is>
          <t>Arts, Culture, and Local Identity</t>
        </is>
      </c>
      <c r="F3" s="6" t="inlineStr">
        <is>
          <t>Yes</t>
        </is>
      </c>
      <c r="G3" s="6" t="inlineStr">
        <is>
          <t>Track attendance, local contributors, and community-shaped exhibits.</t>
        </is>
      </c>
    </row>
    <row r="4">
      <c r="A4" s="6" t="inlineStr">
        <is>
          <t>Arts, Culture, &amp; Civic Programs</t>
        </is>
      </c>
      <c r="B4" s="6" t="inlineStr">
        <is>
          <t>Arts, Culture, &amp; Civic Programs</t>
        </is>
      </c>
      <c r="C4" s="6" t="inlineStr">
        <is>
          <t>Goal 1</t>
        </is>
      </c>
      <c r="D4" s="6" t="inlineStr">
        <is>
          <t>Goal 2</t>
        </is>
      </c>
      <c r="E4" s="6" t="inlineStr">
        <is>
          <t>Arts, Culture, and Local Identity</t>
        </is>
      </c>
      <c r="F4" s="6" t="inlineStr">
        <is>
          <t>Yes</t>
        </is>
      </c>
      <c r="G4" s="6" t="inlineStr">
        <is>
          <t>Include civic education, cultural programming, artist events, and facilitated dialogue.</t>
        </is>
      </c>
    </row>
    <row r="5">
      <c r="A5" s="6" t="inlineStr">
        <is>
          <t>Local History &amp; Heritage</t>
        </is>
      </c>
      <c r="B5" s="6" t="inlineStr">
        <is>
          <t>Local History &amp; Heritage</t>
        </is>
      </c>
      <c r="C5" s="6" t="inlineStr">
        <is>
          <t>Goal 2</t>
        </is>
      </c>
      <c r="D5" s="6" t="inlineStr">
        <is>
          <t>Goal 3</t>
        </is>
      </c>
      <c r="E5" s="6" t="inlineStr">
        <is>
          <t>Local History, Heritage, and Community Stories</t>
        </is>
      </c>
      <c r="F5" s="6" t="inlineStr">
        <is>
          <t>Yes</t>
        </is>
      </c>
      <c r="G5" s="6" t="inlineStr">
        <is>
          <t>Track archive use, heritage programming, and community story collection.</t>
        </is>
      </c>
    </row>
    <row r="6">
      <c r="A6" s="6" t="inlineStr">
        <is>
          <t>Cultural Collections</t>
        </is>
      </c>
      <c r="B6" s="6" t="inlineStr">
        <is>
          <t>Cultural Collections</t>
        </is>
      </c>
      <c r="C6" s="6" t="inlineStr">
        <is>
          <t>Goal 2</t>
        </is>
      </c>
      <c r="D6" s="6" t="inlineStr">
        <is>
          <t>Goal 3</t>
        </is>
      </c>
      <c r="E6" s="6" t="inlineStr">
        <is>
          <t>Local History, Heritage, and Community Stories</t>
        </is>
      </c>
      <c r="F6" s="6" t="inlineStr">
        <is>
          <t>Yes</t>
        </is>
      </c>
      <c r="G6" s="6" t="inlineStr">
        <is>
          <t>Track collection use, access, interpretation, and featured voices.</t>
        </is>
      </c>
    </row>
    <row r="7">
      <c r="A7" s="6" t="inlineStr">
        <is>
          <t>Film &amp; Media</t>
        </is>
      </c>
      <c r="B7" s="6" t="inlineStr">
        <is>
          <t>Film &amp; Media</t>
        </is>
      </c>
      <c r="C7" s="6" t="inlineStr">
        <is>
          <t>Goal 2</t>
        </is>
      </c>
      <c r="D7" s="6" t="inlineStr">
        <is>
          <t>Goal 1</t>
        </is>
      </c>
      <c r="E7" s="6" t="inlineStr">
        <is>
          <t>Arts, Culture, and Local Identity</t>
        </is>
      </c>
      <c r="F7" s="6" t="inlineStr">
        <is>
          <t>No</t>
        </is>
      </c>
      <c r="G7" s="6" t="inlineStr">
        <is>
          <t>Track screenings, media discussions, and locally relevant content.</t>
        </is>
      </c>
    </row>
    <row r="8">
      <c r="A8" s="6" t="inlineStr">
        <is>
          <t>Street Sheets</t>
        </is>
      </c>
      <c r="B8" s="6" t="inlineStr">
        <is>
          <t>Street Sheets</t>
        </is>
      </c>
      <c r="C8" s="6" t="inlineStr">
        <is>
          <t>Goal 1</t>
        </is>
      </c>
      <c r="D8" s="6" t="inlineStr">
        <is>
          <t>Goal 3</t>
        </is>
      </c>
      <c r="E8" s="6" t="inlineStr">
        <is>
          <t>Community Support and Trusted Resource Connection</t>
        </is>
      </c>
      <c r="F8" s="6" t="inlineStr">
        <is>
          <t>Yes</t>
        </is>
      </c>
      <c r="G8" s="6" t="inlineStr">
        <is>
          <t>Track distribution, use, and resource connection value.</t>
        </is>
      </c>
    </row>
    <row r="9">
      <c r="A9" s="6" t="n"/>
      <c r="B9" s="6" t="n"/>
      <c r="C9" s="6" t="n"/>
      <c r="D9" s="6" t="n"/>
      <c r="E9" s="6" t="n"/>
      <c r="F9" s="6" t="n"/>
      <c r="G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14" customWidth="1" min="5" max="5"/>
    <col width="14" customWidth="1" min="6" max="6"/>
    <col width="26" customWidth="1" min="7" max="7"/>
    <col width="20" customWidth="1" min="8" max="8"/>
    <col width="16" customWidth="1" min="9" max="9"/>
    <col width="18" customWidth="1" min="10" max="10"/>
    <col width="16" customWidth="1" min="11" max="11"/>
    <col width="16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22" customWidth="1" min="18" max="18"/>
    <col width="12" customWidth="1" min="19" max="19"/>
    <col width="18" customWidth="1" min="20" max="20"/>
    <col width="24" customWidth="1" min="21" max="21"/>
  </cols>
  <sheetData>
    <row r="1">
      <c r="A1" s="7" t="inlineStr">
        <is>
          <t>Month</t>
        </is>
      </c>
      <c r="B1" s="7" t="inlineStr">
        <is>
          <t>Branch</t>
        </is>
      </c>
      <c r="C1" s="7" t="inlineStr">
        <is>
          <t>Program / Service</t>
        </is>
      </c>
      <c r="D1" s="7" t="inlineStr">
        <is>
          <t>Program Type</t>
        </is>
      </c>
      <c r="E1" s="7" t="inlineStr">
        <is>
          <t>Age Group</t>
        </is>
      </c>
      <c r="F1" s="7" t="inlineStr">
        <is>
          <t>Strategic Goal</t>
        </is>
      </c>
      <c r="G1" s="7" t="inlineStr">
        <is>
          <t>Measurement Pillar</t>
        </is>
      </c>
      <c r="H1" s="7" t="inlineStr">
        <is>
          <t>Partner Name</t>
        </is>
      </c>
      <c r="I1" s="7" t="inlineStr">
        <is>
          <t>Dialogue / Civic Focus?</t>
        </is>
      </c>
      <c r="J1" s="7" t="inlineStr">
        <is>
          <t>Community-shaped / Co-created?</t>
        </is>
      </c>
      <c r="K1" s="7" t="inlineStr">
        <is>
          <t>Bilingual / Language Access?</t>
        </is>
      </c>
      <c r="L1" s="7" t="inlineStr">
        <is>
          <t>Local History / Culture Focus?</t>
        </is>
      </c>
      <c r="M1" s="7" t="inlineStr">
        <is>
          <t>Sessions Offered</t>
        </is>
      </c>
      <c r="N1" s="7" t="inlineStr">
        <is>
          <t>Attendance</t>
        </is>
      </c>
      <c r="O1" s="7" t="inlineStr">
        <is>
          <t>Unique Participants</t>
        </is>
      </c>
      <c r="P1" s="7" t="inlineStr">
        <is>
          <t>Story Submissions / Contributors</t>
        </is>
      </c>
      <c r="Q1" s="7" t="inlineStr">
        <is>
          <t>Avg Satisfaction</t>
        </is>
      </c>
      <c r="R1" s="7" t="inlineStr">
        <is>
          <t>% Reporting Civic / Community Connection Gain</t>
        </is>
      </c>
      <c r="S1" s="7" t="inlineStr">
        <is>
          <t>Referrals / Resource Connections</t>
        </is>
      </c>
      <c r="T1" s="7" t="inlineStr">
        <is>
          <t>Materials / Resource Uses</t>
        </is>
      </c>
      <c r="U1" s="7" t="inlineStr">
        <is>
          <t>Notes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dataValidations count="5">
    <dataValidation sqref="F2:F201" showDropDown="0" showInputMessage="0" showErrorMessage="0" allowBlank="1" type="list">
      <formula1>=Lookups!$A$1:$A$3</formula1>
    </dataValidation>
    <dataValidation sqref="G2:G201" showDropDown="0" showInputMessage="0" showErrorMessage="0" allowBlank="1" type="list">
      <formula1>=Lookups!$B$1:$B$5</formula1>
    </dataValidation>
    <dataValidation sqref="I2:L201" showDropDown="0" showInputMessage="0" showErrorMessage="0" allowBlank="1" type="list">
      <formula1>=Lookups!$C$1:$C$2</formula1>
    </dataValidation>
    <dataValidation sqref="E2:E201" showDropDown="0" showInputMessage="0" showErrorMessage="0" allowBlank="1" type="list">
      <formula1>=Lookups!$D$1:$D$5</formula1>
    </dataValidation>
    <dataValidation sqref="D2:D201" showDropDown="0" showInputMessage="0" showErrorMessage="0" allowBlank="1" type="list">
      <formula1>=Lookups!$E$1:$E$7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 1</t>
        </is>
      </c>
      <c r="B1" t="inlineStr">
        <is>
          <t>Civic Participation, Dialogue, and Social Connection</t>
        </is>
      </c>
      <c r="C1" t="inlineStr">
        <is>
          <t>Yes</t>
        </is>
      </c>
      <c r="D1" t="inlineStr">
        <is>
          <t>Youth</t>
        </is>
      </c>
      <c r="E1" t="inlineStr">
        <is>
          <t>Program</t>
        </is>
      </c>
      <c r="F1" t="inlineStr">
        <is>
          <t>Monthly</t>
        </is>
      </c>
      <c r="G1" t="inlineStr">
        <is>
          <t>Board</t>
        </is>
      </c>
    </row>
    <row r="2">
      <c r="A2" t="inlineStr">
        <is>
          <t>Goal 2</t>
        </is>
      </c>
      <c r="B2" t="inlineStr">
        <is>
          <t>Local History, Heritage, and Community Stories</t>
        </is>
      </c>
      <c r="C2" t="inlineStr">
        <is>
          <t>No</t>
        </is>
      </c>
      <c r="D2" t="inlineStr">
        <is>
          <t>Teen</t>
        </is>
      </c>
      <c r="E2" t="inlineStr">
        <is>
          <t>Exhibition / Gathering</t>
        </is>
      </c>
      <c r="F2" t="inlineStr">
        <is>
          <t>Quarterly</t>
        </is>
      </c>
      <c r="G2" t="inlineStr">
        <is>
          <t>Management</t>
        </is>
      </c>
    </row>
    <row r="3">
      <c r="A3" t="inlineStr">
        <is>
          <t>Goal 3</t>
        </is>
      </c>
      <c r="B3" t="inlineStr">
        <is>
          <t>Arts, Culture, and Local Identity</t>
        </is>
      </c>
      <c r="D3" t="inlineStr">
        <is>
          <t>Adult</t>
        </is>
      </c>
      <c r="E3" t="inlineStr">
        <is>
          <t>Forum / Dialogue</t>
        </is>
      </c>
      <c r="F3" t="inlineStr">
        <is>
          <t>Annually</t>
        </is>
      </c>
      <c r="G3" t="inlineStr">
        <is>
          <t>Board + Management</t>
        </is>
      </c>
    </row>
    <row r="4">
      <c r="B4" t="inlineStr">
        <is>
          <t>Community Support and Trusted Resource Connection</t>
        </is>
      </c>
      <c r="D4" t="inlineStr">
        <is>
          <t>Older Adult</t>
        </is>
      </c>
      <c r="E4" t="inlineStr">
        <is>
          <t>Outreach / Pop-up</t>
        </is>
      </c>
    </row>
    <row r="5">
      <c r="B5" t="inlineStr">
        <is>
          <t>Neighborhood Partnerships and Community Involvement</t>
        </is>
      </c>
      <c r="D5" t="inlineStr">
        <is>
          <t>Mixed / All Ages</t>
        </is>
      </c>
      <c r="E5" t="inlineStr">
        <is>
          <t>Collection / Resource Use</t>
        </is>
      </c>
    </row>
    <row r="6">
      <c r="E6" t="inlineStr">
        <is>
          <t>Partner Service</t>
        </is>
      </c>
    </row>
    <row r="7">
      <c r="E7" t="inlineStr">
        <is>
          <t>Film / Media Event</t>
        </is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8" t="inlineStr">
        <is>
          <t>Fostering Community Pride — Quarterly Scorecard</t>
        </is>
      </c>
    </row>
    <row r="2"/>
    <row r="3">
      <c r="A3" s="9" t="inlineStr">
        <is>
          <t>Board KPI</t>
        </is>
      </c>
      <c r="B3" s="9" t="inlineStr">
        <is>
          <t>FY Target</t>
        </is>
      </c>
      <c r="C3" s="9" t="inlineStr">
        <is>
          <t>Q1 Actual</t>
        </is>
      </c>
      <c r="D3" s="9" t="inlineStr">
        <is>
          <t>Q2 Actual</t>
        </is>
      </c>
      <c r="E3" s="9" t="inlineStr">
        <is>
          <t>Q3 Actual</t>
        </is>
      </c>
      <c r="F3" s="9" t="inlineStr">
        <is>
          <t>Q4 Actual</t>
        </is>
      </c>
      <c r="G3" s="9" t="inlineStr">
        <is>
          <t>Annual Actual</t>
        </is>
      </c>
      <c r="H3" s="9" t="inlineStr">
        <is>
          <t>Annual Status</t>
        </is>
      </c>
    </row>
    <row r="4" ht="24" customHeight="1">
      <c r="A4" s="16" t="inlineStr">
        <is>
          <t>Total participation in civic and community dialogue programs</t>
        </is>
      </c>
      <c r="B4" s="17">
        <f>INDEX('KPI Tracker'!$L$2:$L$25,MATCH("FCP-02",'KPI Tracker'!$A$2:$A$25,0))</f>
        <v/>
      </c>
      <c r="C4" s="17">
        <f>INDEX('KPI Tracker'!$M$2:$M$25,MATCH("FCP-02",'KPI Tracker'!$A$2:$A$25,0))</f>
        <v/>
      </c>
      <c r="D4" s="17">
        <f>INDEX('KPI Tracker'!$O$2:$O$25,MATCH("FCP-02",'KPI Tracker'!$A$2:$A$25,0))</f>
        <v/>
      </c>
      <c r="E4" s="17">
        <f>INDEX('KPI Tracker'!$Q$2:$Q$25,MATCH("FCP-02",'KPI Tracker'!$A$2:$A$25,0))</f>
        <v/>
      </c>
      <c r="F4" s="17">
        <f>INDEX('KPI Tracker'!$S$2:$S$25,MATCH("FCP-02",'KPI Tracker'!$A$2:$A$25,0))</f>
        <v/>
      </c>
      <c r="G4" s="17">
        <f>INDEX('KPI Tracker'!$U$2:$U$25,MATCH("FCP-02",'KPI Tracker'!$A$2:$A$25,0))</f>
        <v/>
      </c>
      <c r="H4" s="16">
        <f>INDEX('KPI Tracker'!$V$2:$V$25,MATCH("FCP-02",'KPI Tracker'!$A$2:$A$25,0))</f>
        <v/>
      </c>
    </row>
    <row r="5" ht="24" customHeight="1">
      <c r="A5" s="16" t="inlineStr">
        <is>
          <t>Unique participants in community pride programming</t>
        </is>
      </c>
      <c r="B5" s="17">
        <f>INDEX('KPI Tracker'!$L$2:$L$25,MATCH("FCP-22",'KPI Tracker'!$A$2:$A$25,0))</f>
        <v/>
      </c>
      <c r="C5" s="17">
        <f>INDEX('KPI Tracker'!$M$2:$M$25,MATCH("FCP-22",'KPI Tracker'!$A$2:$A$25,0))</f>
        <v/>
      </c>
      <c r="D5" s="17">
        <f>INDEX('KPI Tracker'!$O$2:$O$25,MATCH("FCP-22",'KPI Tracker'!$A$2:$A$25,0))</f>
        <v/>
      </c>
      <c r="E5" s="17">
        <f>INDEX('KPI Tracker'!$Q$2:$Q$25,MATCH("FCP-22",'KPI Tracker'!$A$2:$A$25,0))</f>
        <v/>
      </c>
      <c r="F5" s="17">
        <f>INDEX('KPI Tracker'!$S$2:$S$25,MATCH("FCP-22",'KPI Tracker'!$A$2:$A$25,0))</f>
        <v/>
      </c>
      <c r="G5" s="17">
        <f>INDEX('KPI Tracker'!$U$2:$U$25,MATCH("FCP-22",'KPI Tracker'!$A$2:$A$25,0))</f>
        <v/>
      </c>
      <c r="H5" s="16">
        <f>INDEX('KPI Tracker'!$V$2:$V$25,MATCH("FCP-22",'KPI Tracker'!$A$2:$A$25,0))</f>
        <v/>
      </c>
    </row>
    <row r="6" ht="24" customHeight="1">
      <c r="A6" s="16" t="inlineStr">
        <is>
          <t>Local history and heritage program participation</t>
        </is>
      </c>
      <c r="B6" s="17">
        <f>INDEX('KPI Tracker'!$L$2:$L$25,MATCH("FCP-07",'KPI Tracker'!$A$2:$A$25,0))</f>
        <v/>
      </c>
      <c r="C6" s="17">
        <f>INDEX('KPI Tracker'!$M$2:$M$25,MATCH("FCP-07",'KPI Tracker'!$A$2:$A$25,0))</f>
        <v/>
      </c>
      <c r="D6" s="17">
        <f>INDEX('KPI Tracker'!$O$2:$O$25,MATCH("FCP-07",'KPI Tracker'!$A$2:$A$25,0))</f>
        <v/>
      </c>
      <c r="E6" s="17">
        <f>INDEX('KPI Tracker'!$Q$2:$Q$25,MATCH("FCP-07",'KPI Tracker'!$A$2:$A$25,0))</f>
        <v/>
      </c>
      <c r="F6" s="17">
        <f>INDEX('KPI Tracker'!$S$2:$S$25,MATCH("FCP-07",'KPI Tracker'!$A$2:$A$25,0))</f>
        <v/>
      </c>
      <c r="G6" s="17">
        <f>INDEX('KPI Tracker'!$U$2:$U$25,MATCH("FCP-07",'KPI Tracker'!$A$2:$A$25,0))</f>
        <v/>
      </c>
      <c r="H6" s="16">
        <f>INDEX('KPI Tracker'!$V$2:$V$25,MATCH("FCP-07",'KPI Tracker'!$A$2:$A$25,0))</f>
        <v/>
      </c>
    </row>
    <row r="7" ht="24" customHeight="1">
      <c r="A7" s="16" t="inlineStr">
        <is>
          <t>Use of local history archives and cultural collections</t>
        </is>
      </c>
      <c r="B7" s="17">
        <f>INDEX('KPI Tracker'!$L$2:$L$25,MATCH("FCP-08",'KPI Tracker'!$A$2:$A$25,0))</f>
        <v/>
      </c>
      <c r="C7" s="17">
        <f>INDEX('KPI Tracker'!$M$2:$M$25,MATCH("FCP-08",'KPI Tracker'!$A$2:$A$25,0))</f>
        <v/>
      </c>
      <c r="D7" s="17">
        <f>INDEX('KPI Tracker'!$O$2:$O$25,MATCH("FCP-08",'KPI Tracker'!$A$2:$A$25,0))</f>
        <v/>
      </c>
      <c r="E7" s="17">
        <f>INDEX('KPI Tracker'!$Q$2:$Q$25,MATCH("FCP-08",'KPI Tracker'!$A$2:$A$25,0))</f>
        <v/>
      </c>
      <c r="F7" s="17">
        <f>INDEX('KPI Tracker'!$S$2:$S$25,MATCH("FCP-08",'KPI Tracker'!$A$2:$A$25,0))</f>
        <v/>
      </c>
      <c r="G7" s="17">
        <f>INDEX('KPI Tracker'!$U$2:$U$25,MATCH("FCP-08",'KPI Tracker'!$A$2:$A$25,0))</f>
        <v/>
      </c>
      <c r="H7" s="16">
        <f>INDEX('KPI Tracker'!$V$2:$V$25,MATCH("FCP-08",'KPI Tracker'!$A$2:$A$25,0))</f>
        <v/>
      </c>
    </row>
    <row r="8" ht="24" customHeight="1">
      <c r="A8" s="16" t="inlineStr">
        <is>
          <t>Arts, culture, and exhibition participation</t>
        </is>
      </c>
      <c r="B8" s="17">
        <f>INDEX('KPI Tracker'!$L$2:$L$25,MATCH("FCP-10",'KPI Tracker'!$A$2:$A$25,0))</f>
        <v/>
      </c>
      <c r="C8" s="17">
        <f>INDEX('KPI Tracker'!$M$2:$M$25,MATCH("FCP-10",'KPI Tracker'!$A$2:$A$25,0))</f>
        <v/>
      </c>
      <c r="D8" s="17">
        <f>INDEX('KPI Tracker'!$O$2:$O$25,MATCH("FCP-10",'KPI Tracker'!$A$2:$A$25,0))</f>
        <v/>
      </c>
      <c r="E8" s="17">
        <f>INDEX('KPI Tracker'!$Q$2:$Q$25,MATCH("FCP-10",'KPI Tracker'!$A$2:$A$25,0))</f>
        <v/>
      </c>
      <c r="F8" s="17">
        <f>INDEX('KPI Tracker'!$S$2:$S$25,MATCH("FCP-10",'KPI Tracker'!$A$2:$A$25,0))</f>
        <v/>
      </c>
      <c r="G8" s="17">
        <f>INDEX('KPI Tracker'!$U$2:$U$25,MATCH("FCP-10",'KPI Tracker'!$A$2:$A$25,0))</f>
        <v/>
      </c>
      <c r="H8" s="16">
        <f>INDEX('KPI Tracker'!$V$2:$V$25,MATCH("FCP-10",'KPI Tracker'!$A$2:$A$25,0))</f>
        <v/>
      </c>
    </row>
    <row r="9" ht="24" customHeight="1">
      <c r="A9" s="16" t="inlineStr">
        <is>
          <t>Participant rating of respectful and inclusive dialogue</t>
        </is>
      </c>
      <c r="B9" s="17">
        <f>INDEX('KPI Tracker'!$L$2:$L$25,MATCH("FCP-03",'KPI Tracker'!$A$2:$A$25,0))</f>
        <v/>
      </c>
      <c r="C9" s="17">
        <f>INDEX('KPI Tracker'!$M$2:$M$25,MATCH("FCP-03",'KPI Tracker'!$A$2:$A$25,0))</f>
        <v/>
      </c>
      <c r="D9" s="17">
        <f>INDEX('KPI Tracker'!$O$2:$O$25,MATCH("FCP-03",'KPI Tracker'!$A$2:$A$25,0))</f>
        <v/>
      </c>
      <c r="E9" s="17">
        <f>INDEX('KPI Tracker'!$Q$2:$Q$25,MATCH("FCP-03",'KPI Tracker'!$A$2:$A$25,0))</f>
        <v/>
      </c>
      <c r="F9" s="17">
        <f>INDEX('KPI Tracker'!$S$2:$S$25,MATCH("FCP-03",'KPI Tracker'!$A$2:$A$25,0))</f>
        <v/>
      </c>
      <c r="G9" s="17">
        <f>INDEX('KPI Tracker'!$U$2:$U$25,MATCH("FCP-03",'KPI Tracker'!$A$2:$A$25,0))</f>
        <v/>
      </c>
      <c r="H9" s="16">
        <f>INDEX('KPI Tracker'!$V$2:$V$25,MATCH("FCP-03",'KPI Tracker'!$A$2:$A$25,0))</f>
        <v/>
      </c>
    </row>
    <row r="10" ht="24" customHeight="1">
      <c r="A10" s="16" t="inlineStr">
        <is>
          <t>% reporting stronger connection to local history, culture, or identity</t>
        </is>
      </c>
      <c r="B10" s="17">
        <f>INDEX('KPI Tracker'!$L$2:$L$25,MATCH("FCP-12",'KPI Tracker'!$A$2:$A$25,0))</f>
        <v/>
      </c>
      <c r="C10" s="17">
        <f>INDEX('KPI Tracker'!$M$2:$M$25,MATCH("FCP-12",'KPI Tracker'!$A$2:$A$25,0))</f>
        <v/>
      </c>
      <c r="D10" s="17">
        <f>INDEX('KPI Tracker'!$O$2:$O$25,MATCH("FCP-12",'KPI Tracker'!$A$2:$A$25,0))</f>
        <v/>
      </c>
      <c r="E10" s="17">
        <f>INDEX('KPI Tracker'!$Q$2:$Q$25,MATCH("FCP-12",'KPI Tracker'!$A$2:$A$25,0))</f>
        <v/>
      </c>
      <c r="F10" s="17">
        <f>INDEX('KPI Tracker'!$S$2:$S$25,MATCH("FCP-12",'KPI Tracker'!$A$2:$A$25,0))</f>
        <v/>
      </c>
      <c r="G10" s="17">
        <f>INDEX('KPI Tracker'!$U$2:$U$25,MATCH("FCP-12",'KPI Tracker'!$A$2:$A$25,0))</f>
        <v/>
      </c>
      <c r="H10" s="16">
        <f>INDEX('KPI Tracker'!$V$2:$V$25,MATCH("FCP-12",'KPI Tracker'!$A$2:$A$25,0))</f>
        <v/>
      </c>
    </row>
    <row r="11" ht="24" customHeight="1">
      <c r="A11" s="16" t="inlineStr">
        <is>
          <t>Number of active neighborhood and community partners</t>
        </is>
      </c>
      <c r="B11" s="17">
        <f>INDEX('KPI Tracker'!$L$2:$L$25,MATCH("FCP-14",'KPI Tracker'!$A$2:$A$25,0))</f>
        <v/>
      </c>
      <c r="C11" s="17">
        <f>INDEX('KPI Tracker'!$M$2:$M$25,MATCH("FCP-14",'KPI Tracker'!$A$2:$A$25,0))</f>
        <v/>
      </c>
      <c r="D11" s="17">
        <f>INDEX('KPI Tracker'!$O$2:$O$25,MATCH("FCP-14",'KPI Tracker'!$A$2:$A$25,0))</f>
        <v/>
      </c>
      <c r="E11" s="17">
        <f>INDEX('KPI Tracker'!$Q$2:$Q$25,MATCH("FCP-14",'KPI Tracker'!$A$2:$A$25,0))</f>
        <v/>
      </c>
      <c r="F11" s="17">
        <f>INDEX('KPI Tracker'!$S$2:$S$25,MATCH("FCP-14",'KPI Tracker'!$A$2:$A$25,0))</f>
        <v/>
      </c>
      <c r="G11" s="17">
        <f>INDEX('KPI Tracker'!$U$2:$U$25,MATCH("FCP-14",'KPI Tracker'!$A$2:$A$25,0))</f>
        <v/>
      </c>
      <c r="H11" s="16">
        <f>INDEX('KPI Tracker'!$V$2:$V$25,MATCH("FCP-14",'KPI Tracker'!$A$2:$A$25,0))</f>
        <v/>
      </c>
    </row>
    <row r="12"/>
    <row r="13"/>
    <row r="14">
      <c r="A14" s="11" t="inlineStr">
        <is>
          <t>How to use:</t>
        </is>
      </c>
    </row>
    <row r="15">
      <c r="A15" t="inlineStr">
        <is>
          <t>1) Enter Baseline, FY Target, and quarterly actuals on the KPI Tracker sheet.</t>
        </is>
      </c>
    </row>
    <row r="16">
      <c r="A16" t="inlineStr">
        <is>
          <t>2) Status fields will populate automatically based on pace to target.</t>
        </is>
      </c>
    </row>
    <row r="17">
      <c r="A17" t="inlineStr">
        <is>
          <t>3) Use Monthly Data Entry for operational collection; aggregate to KPI Tracker quarterly.</t>
        </is>
      </c>
    </row>
    <row r="18">
      <c r="A18" t="inlineStr">
        <is>
          <t>4) Present this sheet as the board-facing summary.</t>
        </is>
      </c>
    </row>
    <row r="19"/>
    <row r="20"/>
    <row r="21"/>
    <row r="22"/>
    <row r="23"/>
    <row r="24"/>
    <row r="25"/>
    <row r="26"/>
    <row r="27"/>
    <row r="28"/>
    <row r="29"/>
    <row r="30"/>
  </sheetData>
  <mergeCells count="1">
    <mergeCell ref="A1:H1"/>
  </mergeCells>
  <conditionalFormatting sqref="H4:H11">
    <cfRule type="expression" priority="1" dxfId="0">
      <formula>H4="On Track"</formula>
    </cfRule>
    <cfRule type="expression" priority="2" dxfId="1">
      <formula>H4="Watch"</formula>
    </cfRule>
    <cfRule type="expression" priority="3" dxfId="2">
      <formula>H4="Needs Attention"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2026-04-10T17:32:22Z</dcterms:created>
  <dcterms:modified xmlns:dcterms="http://purl.org/dc/terms/" xmlns:xsi="http://www.w3.org/2001/XMLSchema-instance" xsi:type="dcterms:W3CDTF">2026-04-10T17:32:23Z</dcterms:modified>
</cp:coreProperties>
</file>