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d1accdbd6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Tracker" sheetId="1" r:id="Rbe45cf2cf0434a8b"/>
    <x:sheet xmlns:r="http://schemas.openxmlformats.org/officeDocument/2006/relationships" name="KPI Dictionary" sheetId="2" r:id="R04e59c52a8d14a1d"/>
    <x:sheet xmlns:r="http://schemas.openxmlformats.org/officeDocument/2006/relationships" name="Program Mapping" sheetId="3" r:id="Re34286b819894775"/>
    <x:sheet xmlns:r="http://schemas.openxmlformats.org/officeDocument/2006/relationships" name="Monthly Data Entry" sheetId="4" r:id="Rc92d53a448504b64"/>
    <x:sheet xmlns:r="http://schemas.openxmlformats.org/officeDocument/2006/relationships" name="Lookups" sheetId="5" r:id="R84d345cf9add4eb4"/>
    <x:sheet xmlns:r="http://schemas.openxmlformats.org/officeDocument/2006/relationships" name="Quarterly Scorecard" sheetId="6" r:id="Rf2a4e2e576a1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.0;-#,##0.0"/>
    <x:numFmt numFmtId="165" formatCode="0.0%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FFFFFF"/>
    </x:font>
    <x:font>
      <x:b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F3FF"/>
      </x:patternFill>
    </x:fill>
    <x:fill>
      <x:patternFill patternType="solid">
        <x:fgColor rgb="00FFFFFF"/>
      </x:patternFill>
    </x:fill>
    <x:fill>
      <x:patternFill patternType="solid">
        <x:fgColor rgb="00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Alignment="1">
      <x:alignment horizontal="center" vertical="center" wrapText="1"/>
    </x:xf>
    <x:xf numFmtId="164" fontId="0" fillId="3" borderId="0" xfId="0"/>
    <x:xf numFmtId="165" fontId="0" fillId="4" borderId="0" xfId="0"/>
    <x:xf numFmtId="164" fontId="0" fillId="4" borderId="0" xfId="0"/>
    <x:xf numFmtId="0" fontId="1" fillId="2" borderId="0" xfId="0" applyAlignment="1">
      <x:alignment horizontal="center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wrapText="1"/>
    </x:xf>
    <x:xf numFmtId="0" fontId="2" fillId="2" borderId="0" xfId="0"/>
    <x:xf numFmtId="0" fontId="3" fillId="5" borderId="0" xfId="0" applyAlignment="1">
      <x:alignment horizontal="center"/>
    </x:xf>
    <x:xf numFmtId="164" fontId="0" fillId="0" borderId="0" xfId="0"/>
    <x:xf numFmtId="0" fontId="3" fillId="0" borderId="0" xfId="0"/>
    <x:xf numFmtId="164" fontId="0" fillId="3" borderId="0" xfId="0" applyAlignment="1">
      <x:alignment horizontal="center" vertical="center" wrapText="1"/>
    </x:xf>
    <x:xf numFmtId="165" fontId="0" fillId="4" borderId="0" xfId="0" applyAlignment="1">
      <x:alignment horizontal="center" vertical="center" wrapText="1"/>
    </x:xf>
    <x:xf numFmtId="164" fontId="0" fillId="4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5e46122ea40d9" /><Relationship Type="http://schemas.openxmlformats.org/officeDocument/2006/relationships/theme" Target="/xl/theme/theme1.xml" Id="R58093ef3e88c469c" /><Relationship Type="http://schemas.openxmlformats.org/officeDocument/2006/relationships/sharedStrings" Target="/xl/sharedStrings.xml" Id="Rc8e2f8f76d204ee4" /><Relationship Type="http://schemas.openxmlformats.org/officeDocument/2006/relationships/worksheet" Target="/xl/worksheets/sheet1.xml" Id="Rbe45cf2cf0434a8b" /><Relationship Type="http://schemas.openxmlformats.org/officeDocument/2006/relationships/worksheet" Target="/xl/worksheets/sheet2.xml" Id="R04e59c52a8d14a1d" /><Relationship Type="http://schemas.openxmlformats.org/officeDocument/2006/relationships/worksheet" Target="/xl/worksheets/sheet3.xml" Id="Re34286b819894775" /><Relationship Type="http://schemas.openxmlformats.org/officeDocument/2006/relationships/worksheet" Target="/xl/worksheets/sheet4.xml" Id="Rc92d53a448504b64" /><Relationship Type="http://schemas.openxmlformats.org/officeDocument/2006/relationships/worksheet" Target="/xl/worksheets/sheet5.xml" Id="R84d345cf9add4eb4" /><Relationship Type="http://schemas.openxmlformats.org/officeDocument/2006/relationships/worksheet" Target="/xl/worksheets/sheet6.xml" Id="Rf2a4e2e576a1442e" /></Relationships>
</file>

<file path=xl/tables/table1.xml><?xml version="1.0" encoding="utf-8"?>
<x:table xmlns:x="http://schemas.openxmlformats.org/spreadsheetml/2006/main" id="1" name="KPITrackerTable" displayName="KPITrackerTable" ref="A1:W29" headerRowCount="1">
  <x:autoFilter ref="A1:W29"/>
  <x:tableColumns count="23">
    <x:tableColumn id="1" name="KPI ID"/>
    <x:tableColumn id="2" name="Strategic Goal"/>
    <x:tableColumn id="3" name="Community Need"/>
    <x:tableColumn id="4" name="KPI"/>
    <x:tableColumn id="5" name="KPI Definition"/>
    <x:tableColumn id="6" name="Measure Type"/>
    <x:tableColumn id="7" name="Data Source"/>
    <x:tableColumn id="8" name="Frequency"/>
    <x:tableColumn id="9" name="Owner"/>
    <x:tableColumn id="10" name="Dashboard Level"/>
    <x:tableColumn id="11" name="Baseline"/>
    <x:tableColumn id="12" name="FY Target"/>
    <x:tableColumn id="13" name="Q1 Actual"/>
    <x:tableColumn id="14" name="Q1 Status"/>
    <x:tableColumn id="15" name="Q2 Actual"/>
    <x:tableColumn id="16" name="Q2 Status"/>
    <x:tableColumn id="17" name="Q3 Actual"/>
    <x:tableColumn id="18" name="Q3 Status"/>
    <x:tableColumn id="19" name="Q4 Actual"/>
    <x:tableColumn id="20" name="Q4 Status"/>
    <x:tableColumn id="21" name="Annual Actual"/>
    <x:tableColumn id="22" name="Annual Status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KPIDictionaryTable" displayName="KPIDictionaryTable" ref="A1:B11" headerRowCount="1">
  <x:autoFilter ref="A1:B11"/>
  <x:tableColumns count="2">
    <x:tableColumn id="1" name="Field"/>
    <x:tableColumn id="2" name="Definition / Standard"/>
  </x:tableColumns>
  <x:tableStyleInfo name="TableStyleMedium9" showRowStripes="1"/>
</x:table>
</file>

<file path=xl/tables/table3.xml><?xml version="1.0" encoding="utf-8"?>
<x:table xmlns:x="http://schemas.openxmlformats.org/spreadsheetml/2006/main" id="3" name="ProgramMappingTable" displayName="ProgramMappingTable" ref="A1:G9" headerRowCount="1">
  <x:autoFilter ref="A1:G9"/>
  <x:tableColumns count="7">
    <x:tableColumn id="1" name="Program / Service Area"/>
    <x:tableColumn id="2" name="Related Offerings"/>
    <x:tableColumn id="3" name="Primary Goal"/>
    <x:tableColumn id="4" name="Secondary Goal"/>
    <x:tableColumn id="5" name="Measurement Pillar"/>
    <x:tableColumn id="6" name="Include in Board Dashboard?"/>
    <x:tableColumn id="7" name="Notes"/>
  </x:tableColumns>
  <x:tableStyleInfo name="TableStyleMedium4" showRowStripes="1"/>
</x:table>
</file>

<file path=xl/tables/table4.xml><?xml version="1.0" encoding="utf-8"?>
<x:table xmlns:x="http://schemas.openxmlformats.org/spreadsheetml/2006/main" id="4" name="MonthlyDataEntryTable" displayName="MonthlyDataEntryTable" ref="A1:U201" headerRowCount="1">
  <x:autoFilter ref="A1:U201"/>
  <x:tableColumns count="21">
    <x:tableColumn id="1" name="Month"/>
    <x:tableColumn id="2" name="Branch"/>
    <x:tableColumn id="3" name="Program / Service"/>
    <x:tableColumn id="4" name="Program Type"/>
    <x:tableColumn id="5" name="Age Group"/>
    <x:tableColumn id="6" name="Strategic Goal"/>
    <x:tableColumn id="7" name="Measurement Pillar"/>
    <x:tableColumn id="8" name="Partner Name"/>
    <x:tableColumn id="9" name="Intergenerational?"/>
    <x:tableColumn id="10" name="Hands-on / Interactive?"/>
    <x:tableColumn id="11" name="Foundational Skills?"/>
    <x:tableColumn id="12" name="Career / Workforce?"/>
    <x:tableColumn id="13" name="Sessions Offered"/>
    <x:tableColumn id="14" name="Attendance"/>
    <x:tableColumn id="15" name="Unique Learners"/>
    <x:tableColumn id="16" name="Completions"/>
    <x:tableColumn id="17" name="Avg Satisfaction"/>
    <x:tableColumn id="18" name="% Reporting Confidence Gain"/>
    <x:tableColumn id="19" name="Referrals Made"/>
    <x:tableColumn id="20" name="Materials / Resource Uses"/>
    <x:tableColumn id="21" name="Notes"/>
  </x:tableColumns>
  <x:tableStyleInfo name="TableStyleMedium15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c355c33ea042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a5e68bfcdb4b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e13c731fc143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44311a7d9e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8" customWidth="1"/>
    <x:col min="5" max="5" width="46" customWidth="1"/>
    <x:col min="6" max="6" width="14" customWidth="1"/>
    <x:col min="7" max="7" width="30" customWidth="1"/>
    <x:col min="8" max="8" width="16" customWidth="1"/>
    <x:col min="9" max="9" width="26" customWidth="1"/>
    <x:col min="10" max="10" width="18" customWidth="1"/>
    <x:col min="11" max="11" width="11" customWidth="1"/>
    <x:col min="12" max="12" width="11" customWidth="1"/>
    <x:col min="13" max="13" width="10" customWidth="1"/>
    <x:col min="14" max="14" width="15" customWidth="1"/>
    <x:col min="15" max="15" width="10" customWidth="1"/>
    <x:col min="16" max="16" width="15" customWidth="1"/>
    <x:col min="17" max="17" width="10" customWidth="1"/>
    <x:col min="18" max="18" width="15" customWidth="1"/>
    <x:col min="19" max="19" width="10" customWidth="1"/>
    <x:col min="20" max="20" width="15" customWidth="1"/>
    <x:col min="21" max="21" width="12" customWidth="1"/>
    <x:col min="22" max="22" width="15" customWidth="1"/>
    <x:col min="23" max="23" width="26" customWidth="1"/>
  </x:cols>
  <x:sheetData>
    <x:row r="1">
      <x:c r="A1" s="1" t="inlineStr">
        <x:is>
          <x:t xml:space="preserve">KPI ID</x:t>
        </x:is>
      </x:c>
      <x:c r="B1" s="1" t="inlineStr">
        <x:is>
          <x:t xml:space="preserve">Strategic Goal</x:t>
        </x:is>
      </x:c>
      <x:c r="C1" s="1" t="inlineStr">
        <x:is>
          <x:t xml:space="preserve">Community Need</x:t>
        </x:is>
      </x:c>
      <x:c r="D1" s="1" t="inlineStr">
        <x:is>
          <x:t xml:space="preserve">KPI</x:t>
        </x:is>
      </x:c>
      <x:c r="E1" s="1" t="inlineStr">
        <x:is>
          <x:t xml:space="preserve">KPI Definition</x:t>
        </x:is>
      </x:c>
      <x:c r="F1" s="1" t="inlineStr">
        <x:is>
          <x:t xml:space="preserve">Measure Type</x:t>
        </x:is>
      </x:c>
      <x:c r="G1" s="1" t="inlineStr">
        <x:is>
          <x:t xml:space="preserve">Data Source</x:t>
        </x:is>
      </x:c>
      <x:c r="H1" s="1" t="inlineStr">
        <x:is>
          <x:t xml:space="preserve">Frequency</x:t>
        </x:is>
      </x:c>
      <x:c r="I1" s="1" t="inlineStr">
        <x:is>
          <x:t xml:space="preserve">Owner</x:t>
        </x:is>
      </x:c>
      <x:c r="J1" s="1" t="inlineStr">
        <x:is>
          <x:t xml:space="preserve">Dashboard Level</x:t>
        </x:is>
      </x:c>
      <x:c r="K1" s="1" t="inlineStr">
        <x:is>
          <x:t xml:space="preserve">Baseline</x:t>
        </x:is>
      </x:c>
      <x:c r="L1" s="1" t="inlineStr">
        <x:is>
          <x:t xml:space="preserve">FY Target</x:t>
        </x:is>
      </x:c>
      <x:c r="M1" s="1" t="inlineStr">
        <x:is>
          <x:t xml:space="preserve">Q1 Actual</x:t>
        </x:is>
      </x:c>
      <x:c r="N1" s="1" t="inlineStr">
        <x:is>
          <x:t xml:space="preserve">Q1 Status</x:t>
        </x:is>
      </x:c>
      <x:c r="O1" s="1" t="inlineStr">
        <x:is>
          <x:t xml:space="preserve">Q2 Actual</x:t>
        </x:is>
      </x:c>
      <x:c r="P1" s="1" t="inlineStr">
        <x:is>
          <x:t xml:space="preserve">Q2 Status</x:t>
        </x:is>
      </x:c>
      <x:c r="Q1" s="1" t="inlineStr">
        <x:is>
          <x:t xml:space="preserve">Q3 Actual</x:t>
        </x:is>
      </x:c>
      <x:c r="R1" s="1" t="inlineStr">
        <x:is>
          <x:t xml:space="preserve">Q3 Status</x:t>
        </x:is>
      </x:c>
      <x:c r="S1" s="1" t="inlineStr">
        <x:is>
          <x:t xml:space="preserve">Q4 Actual</x:t>
        </x:is>
      </x:c>
      <x:c r="T1" s="1" t="inlineStr">
        <x:is>
          <x:t xml:space="preserve">Q4 Status</x:t>
        </x:is>
      </x:c>
      <x:c r="U1" s="1" t="inlineStr">
        <x:is>
          <x:t xml:space="preserve">Annual Actual</x:t>
        </x:is>
      </x:c>
      <x:c r="V1" s="1" t="inlineStr">
        <x:is>
          <x:t xml:space="preserve">Annual Status</x:t>
        </x:is>
      </x:c>
      <x:c r="W1" s="1" t="inlineStr">
        <x:is>
          <x:t xml:space="preserve">Notes</x:t>
        </x:is>
      </x:c>
    </x:row>
    <x:row r="2" ht="32" customHeight="1">
      <x:c r="A2" s="6" t="inlineStr">
        <x:is>
          <x:t xml:space="preserve">SAL-01</x:t>
        </x:is>
      </x:c>
      <x:c r="B2" s="6" t="inlineStr">
        <x:is>
          <x:t xml:space="preserve">Goal 1</x:t>
        </x:is>
      </x:c>
      <x:c r="C2" s="6" t="inlineStr">
        <x:is>
          <x:t xml:space="preserve">Access to learning opportunities for all ages</x:t>
        </x:is>
      </x:c>
      <x:c r="D2" s="6" t="inlineStr">
        <x:is>
          <x:t xml:space="preserve">Number of learning programs offered</x:t>
        </x:is>
      </x:c>
      <x:c r="E2" s="6" t="inlineStr">
        <x:is>
          <x:t xml:space="preserve">Total number of learner-focused classes, workshops, series, and events delivered in the reporting period</x:t>
        </x:is>
      </x:c>
      <x:c r="F2" s="6" t="inlineStr">
        <x:is>
          <x:t xml:space="preserve">Output</x:t>
        </x:is>
      </x:c>
      <x:c r="G2" s="6" t="inlineStr">
        <x:is>
          <x:t xml:space="preserve">Program calendar / tracking form</x:t>
        </x:is>
      </x:c>
      <x:c r="H2" s="6" t="inlineStr">
        <x:is>
          <x:t xml:space="preserve">Monthly / Quarterly</x:t>
        </x:is>
      </x:c>
      <x:c r="I2" s="6" t="inlineStr">
        <x:is>
          <x:t xml:space="preserve">Programming staff</x:t>
        </x:is>
      </x:c>
      <x:c r="J2" s="6" t="inlineStr">
        <x:is>
          <x:t xml:space="preserve">Management</x:t>
        </x:is>
      </x:c>
      <x:c r="K2" s="12" t="inlineStr">
        <x:is>
          <x:t xml:space="preserve"/>
        </x:is>
      </x:c>
      <x:c r="L2" s="12" t="inlineStr">
        <x:is>
          <x:t xml:space="preserve"/>
        </x:is>
      </x:c>
      <x:c r="M2" s="12" t="inlineStr">
        <x:is>
          <x:t xml:space="preserve"/>
        </x:is>
      </x:c>
      <x:c r="N2" s="13">
        <x:f>IF(M2="","",IF($L2="","",IF(M2&gt;=$L2/4,"On Track",IF(M2&gt;=$L2/4*0.85,"Watch","Needs Attention"))))</x:f>
      </x:c>
      <x:c r="O2" s="12" t="inlineStr">
        <x:is>
          <x:t xml:space="preserve"/>
        </x:is>
      </x:c>
      <x:c r="P2" s="13">
        <x:f>IF(O2="","",IF($L2="","",IF(O2&gt;=$L2/4,"On Track",IF(O2&gt;=$L2/4*0.85,"Watch","Needs Attention"))))</x:f>
      </x:c>
      <x:c r="Q2" s="12" t="inlineStr">
        <x:is>
          <x:t xml:space="preserve"/>
        </x:is>
      </x:c>
      <x:c r="R2" s="13">
        <x:f>IF(Q2="","",IF($L2="","",IF(Q2&gt;=$L2/4,"On Track",IF(Q2&gt;=$L2/4*0.85,"Watch","Needs Attention"))))</x:f>
      </x:c>
      <x:c r="S2" s="12" t="inlineStr">
        <x:is>
          <x:t xml:space="preserve"/>
        </x:is>
      </x:c>
      <x:c r="T2" s="13">
        <x:f>IF(S2="","",IF($L2="","",IF(S2&gt;=$L2/4,"On Track",IF(S2&gt;=$L2/4*0.85,"Watch","Needs Attention"))))</x:f>
      </x:c>
      <x:c r="U2" s="14">
        <x:f>IF(COUNTA(M2,O2,Q2,S2)=0,"",SUM(M2,O2,Q2,S2))</x:f>
      </x:c>
      <x:c r="V2" s="15">
        <x:f>IF(U2="","",IF($L2="","",IF(U2&gt;=$L2,"On Track",IF(U2&gt;=$L2*0.85,"Watch","Needs Attention"))))</x:f>
      </x:c>
      <x:c r="W2" t="inlineStr">
        <x:is>
          <x:t xml:space="preserve"/>
        </x:is>
      </x:c>
    </x:row>
    <x:row r="3" ht="32" customHeight="1">
      <x:c r="A3" s="6" t="inlineStr">
        <x:is>
          <x:t xml:space="preserve">SAL-02</x:t>
        </x:is>
      </x:c>
      <x:c r="B3" s="6" t="inlineStr">
        <x:is>
          <x:t xml:space="preserve">Goal 1</x:t>
        </x:is>
      </x:c>
      <x:c r="C3" s="6" t="inlineStr">
        <x:is>
          <x:t xml:space="preserve">Access to learning opportunities for all ages</x:t>
        </x:is>
      </x:c>
      <x:c r="D3" s="6" t="inlineStr">
        <x:is>
          <x:t xml:space="preserve">Total participation in learning programs</x:t>
        </x:is>
      </x:c>
      <x:c r="E3" s="6" t="inlineStr">
        <x:is>
          <x:t xml:space="preserve">Total attendance across all learner-focused programs during the reporting period</x:t>
        </x:is>
      </x:c>
      <x:c r="F3" s="6" t="inlineStr">
        <x:is>
          <x:t xml:space="preserve">Output</x:t>
        </x:is>
      </x:c>
      <x:c r="G3" s="6" t="inlineStr">
        <x:is>
          <x:t xml:space="preserve">Attendance records</x:t>
        </x:is>
      </x:c>
      <x:c r="H3" s="6" t="inlineStr">
        <x:is>
          <x:t xml:space="preserve">Monthly / Quarterly</x:t>
        </x:is>
      </x:c>
      <x:c r="I3" s="6" t="inlineStr">
        <x:is>
          <x:t xml:space="preserve">Programming staff + data team</x:t>
        </x:is>
      </x:c>
      <x:c r="J3" s="6" t="inlineStr">
        <x:is>
          <x:t xml:space="preserve">Board + Management</x:t>
        </x:is>
      </x:c>
      <x:c r="K3" s="12" t="inlineStr">
        <x:is>
          <x:t xml:space="preserve"/>
        </x:is>
      </x:c>
      <x:c r="L3" s="12" t="inlineStr">
        <x:is>
          <x:t xml:space="preserve"/>
        </x:is>
      </x:c>
      <x:c r="M3" s="12" t="inlineStr">
        <x:is>
          <x:t xml:space="preserve"/>
        </x:is>
      </x:c>
      <x:c r="N3" s="13">
        <x:f>IF(M3="","",IF($L3="","",IF(M3&gt;=$L3/4,"On Track",IF(M3&gt;=$L3/4*0.85,"Watch","Needs Attention"))))</x:f>
      </x:c>
      <x:c r="O3" s="12" t="inlineStr">
        <x:is>
          <x:t xml:space="preserve"/>
        </x:is>
      </x:c>
      <x:c r="P3" s="13">
        <x:f>IF(O3="","",IF($L3="","",IF(O3&gt;=$L3/4,"On Track",IF(O3&gt;=$L3/4*0.85,"Watch","Needs Attention"))))</x:f>
      </x:c>
      <x:c r="Q3" s="12" t="inlineStr">
        <x:is>
          <x:t xml:space="preserve"/>
        </x:is>
      </x:c>
      <x:c r="R3" s="13">
        <x:f>IF(Q3="","",IF($L3="","",IF(Q3&gt;=$L3/4,"On Track",IF(Q3&gt;=$L3/4*0.85,"Watch","Needs Attention"))))</x:f>
      </x:c>
      <x:c r="S3" s="12" t="inlineStr">
        <x:is>
          <x:t xml:space="preserve"/>
        </x:is>
      </x:c>
      <x:c r="T3" s="13">
        <x:f>IF(S3="","",IF($L3="","",IF(S3&gt;=$L3/4,"On Track",IF(S3&gt;=$L3/4*0.85,"Watch","Needs Attention"))))</x:f>
      </x:c>
      <x:c r="U3" s="14">
        <x:f>IF(COUNTA(M3,O3,Q3,S3)=0,"",SUM(M3,O3,Q3,S3))</x:f>
      </x:c>
      <x:c r="V3" s="15">
        <x:f>IF(U3="","",IF($L3="","",IF(U3&gt;=$L3,"On Track",IF(U3&gt;=$L3*0.85,"Watch","Needs Attention"))))</x:f>
      </x:c>
      <x:c r="W3" t="inlineStr">
        <x:is>
          <x:t xml:space="preserve"/>
        </x:is>
      </x:c>
    </x:row>
    <x:row r="4" ht="32" customHeight="1">
      <x:c r="A4" s="6" t="inlineStr">
        <x:is>
          <x:t xml:space="preserve">SAL-03</x:t>
        </x:is>
      </x:c>
      <x:c r="B4" s="6" t="inlineStr">
        <x:is>
          <x:t xml:space="preserve">Goal 1</x:t>
        </x:is>
      </x:c>
      <x:c r="C4" s="6" t="inlineStr">
        <x:is>
          <x:t xml:space="preserve">Access to learning opportunities for all ages</x:t>
        </x:is>
      </x:c>
      <x:c r="D4" s="6" t="inlineStr">
        <x:is>
          <x:t xml:space="preserve">Unique learners served</x:t>
        </x:is>
      </x:c>
      <x:c r="E4" s="6" t="inlineStr">
        <x:is>
          <x:t xml:space="preserve">Unduplicated participants in learner-focused programs within the reporting period</x:t>
        </x:is>
      </x:c>
      <x:c r="F4" s="6" t="inlineStr">
        <x:is>
          <x:t xml:space="preserve">Reach</x:t>
        </x:is>
      </x:c>
      <x:c r="G4" s="6" t="inlineStr">
        <x:is>
          <x:t xml:space="preserve">Registration / CRM / attendance system</x:t>
        </x:is>
      </x:c>
      <x:c r="H4" s="6" t="inlineStr">
        <x:is>
          <x:t xml:space="preserve">Quarterly</x:t>
        </x:is>
      </x:c>
      <x:c r="I4" s="6" t="inlineStr">
        <x:is>
          <x:t xml:space="preserve">Data team</x:t>
        </x:is>
      </x:c>
      <x:c r="J4" s="6" t="inlineStr">
        <x:is>
          <x:t xml:space="preserve">Board</x:t>
        </x:is>
      </x:c>
      <x:c r="K4" s="12" t="inlineStr">
        <x:is>
          <x:t xml:space="preserve"/>
        </x:is>
      </x:c>
      <x:c r="L4" s="12" t="inlineStr">
        <x:is>
          <x:t xml:space="preserve"/>
        </x:is>
      </x:c>
      <x:c r="M4" s="12" t="inlineStr">
        <x:is>
          <x:t xml:space="preserve"/>
        </x:is>
      </x:c>
      <x:c r="N4" s="13">
        <x:f>IF(M4="","",IF($L4="","",IF(M4&gt;=$L4/4,"On Track",IF(M4&gt;=$L4/4*0.85,"Watch","Needs Attention"))))</x:f>
      </x:c>
      <x:c r="O4" s="12" t="inlineStr">
        <x:is>
          <x:t xml:space="preserve"/>
        </x:is>
      </x:c>
      <x:c r="P4" s="13">
        <x:f>IF(O4="","",IF($L4="","",IF(O4&gt;=$L4/4,"On Track",IF(O4&gt;=$L4/4*0.85,"Watch","Needs Attention"))))</x:f>
      </x:c>
      <x:c r="Q4" s="12" t="inlineStr">
        <x:is>
          <x:t xml:space="preserve"/>
        </x:is>
      </x:c>
      <x:c r="R4" s="13">
        <x:f>IF(Q4="","",IF($L4="","",IF(Q4&gt;=$L4/4,"On Track",IF(Q4&gt;=$L4/4*0.85,"Watch","Needs Attention"))))</x:f>
      </x:c>
      <x:c r="S4" s="12" t="inlineStr">
        <x:is>
          <x:t xml:space="preserve"/>
        </x:is>
      </x:c>
      <x:c r="T4" s="13">
        <x:f>IF(S4="","",IF($L4="","",IF(S4&gt;=$L4/4,"On Track",IF(S4&gt;=$L4/4*0.85,"Watch","Needs Attention"))))</x:f>
      </x:c>
      <x:c r="U4" s="14">
        <x:f>IF(COUNTA(M4,O4,Q4,S4)=0,"",SUM(M4,O4,Q4,S4))</x:f>
      </x:c>
      <x:c r="V4" s="15">
        <x:f>IF(U4="","",IF($L4="","",IF(U4&gt;=$L4,"On Track",IF(U4&gt;=$L4*0.85,"Watch","Needs Attention"))))</x:f>
      </x:c>
      <x:c r="W4" t="inlineStr">
        <x:is>
          <x:t xml:space="preserve"/>
        </x:is>
      </x:c>
    </x:row>
    <x:row r="5" ht="32" customHeight="1">
      <x:c r="A5" s="6" t="inlineStr">
        <x:is>
          <x:t xml:space="preserve">SAL-04</x:t>
        </x:is>
      </x:c>
      <x:c r="B5" s="6" t="inlineStr">
        <x:is>
          <x:t xml:space="preserve">Goal 1</x:t>
        </x:is>
      </x:c>
      <x:c r="C5" s="6" t="inlineStr">
        <x:is>
          <x:t xml:space="preserve">Access to learning opportunities for all ages</x:t>
        </x:is>
      </x:c>
      <x:c r="D5" s="6" t="inlineStr">
        <x:is>
          <x:t xml:space="preserve">Participation by age group</x:t>
        </x:is>
      </x:c>
      <x:c r="E5" s="6" t="inlineStr">
        <x:is>
          <x:t xml:space="preserve">Number and share of participants by age group: early childhood, youth, teens, adults, older adults</x:t>
        </x:is>
      </x:c>
      <x:c r="F5" s="6" t="inlineStr">
        <x:is>
          <x:t xml:space="preserve">Reach</x:t>
        </x:is>
      </x:c>
      <x:c r="G5" s="6" t="inlineStr">
        <x:is>
          <x:t xml:space="preserve">Registration / attendance forms</x:t>
        </x:is>
      </x:c>
      <x:c r="H5" s="6" t="inlineStr">
        <x:is>
          <x:t xml:space="preserve">Quarterly</x:t>
        </x:is>
      </x:c>
      <x:c r="I5" s="6" t="inlineStr">
        <x:is>
          <x:t xml:space="preserve">Data team</x:t>
        </x:is>
      </x:c>
      <x:c r="J5" s="6" t="inlineStr">
        <x:is>
          <x:t xml:space="preserve">Management</x:t>
        </x:is>
      </x:c>
      <x:c r="K5" s="12" t="inlineStr">
        <x:is>
          <x:t xml:space="preserve"/>
        </x:is>
      </x:c>
      <x:c r="L5" s="12" t="inlineStr">
        <x:is>
          <x:t xml:space="preserve"/>
        </x:is>
      </x:c>
      <x:c r="M5" s="12" t="inlineStr">
        <x:is>
          <x:t xml:space="preserve"/>
        </x:is>
      </x:c>
      <x:c r="N5" s="13">
        <x:f>IF(M5="","",IF($L5="","",IF(M5&gt;=$L5/4,"On Track",IF(M5&gt;=$L5/4*0.85,"Watch","Needs Attention"))))</x:f>
      </x:c>
      <x:c r="O5" s="12" t="inlineStr">
        <x:is>
          <x:t xml:space="preserve"/>
        </x:is>
      </x:c>
      <x:c r="P5" s="13">
        <x:f>IF(O5="","",IF($L5="","",IF(O5&gt;=$L5/4,"On Track",IF(O5&gt;=$L5/4*0.85,"Watch","Needs Attention"))))</x:f>
      </x:c>
      <x:c r="Q5" s="12" t="inlineStr">
        <x:is>
          <x:t xml:space="preserve"/>
        </x:is>
      </x:c>
      <x:c r="R5" s="13">
        <x:f>IF(Q5="","",IF($L5="","",IF(Q5&gt;=$L5/4,"On Track",IF(Q5&gt;=$L5/4*0.85,"Watch","Needs Attention"))))</x:f>
      </x:c>
      <x:c r="S5" s="12" t="inlineStr">
        <x:is>
          <x:t xml:space="preserve"/>
        </x:is>
      </x:c>
      <x:c r="T5" s="13">
        <x:f>IF(S5="","",IF($L5="","",IF(S5&gt;=$L5/4,"On Track",IF(S5&gt;=$L5/4*0.85,"Watch","Needs Attention"))))</x:f>
      </x:c>
      <x:c r="U5" s="14">
        <x:f>IF(COUNTA(M5,O5,Q5,S5)=0,"",SUM(M5,O5,Q5,S5))</x:f>
      </x:c>
      <x:c r="V5" s="15">
        <x:f>IF(U5="","",IF($L5="","",IF(U5&gt;=$L5,"On Track",IF(U5&gt;=$L5*0.85,"Watch","Needs Attention"))))</x:f>
      </x:c>
      <x:c r="W5" t="inlineStr">
        <x:is>
          <x:t xml:space="preserve"/>
        </x:is>
      </x:c>
    </x:row>
    <x:row r="6" ht="32" customHeight="1">
      <x:c r="A6" s="6" t="inlineStr">
        <x:is>
          <x:t xml:space="preserve">SAL-05</x:t>
        </x:is>
      </x:c>
      <x:c r="B6" s="6" t="inlineStr">
        <x:is>
          <x:t xml:space="preserve">Goal 1</x:t>
        </x:is>
      </x:c>
      <x:c r="C6" s="6" t="inlineStr">
        <x:is>
          <x:t xml:space="preserve">Access to college, career, and workforce preparation</x:t>
        </x:is>
      </x:c>
      <x:c r="D6" s="6" t="inlineStr">
        <x:is>
          <x:t xml:space="preserve">Participation in college/career/workforce readiness programs</x:t>
        </x:is>
      </x:c>
      <x:c r="E6" s="6" t="inlineStr">
        <x:is>
          <x:t xml:space="preserve">Attendance in programs focused on job readiness, college access, career exploration, resume building, interviewing, and related topics</x:t>
        </x:is>
      </x:c>
      <x:c r="F6" s="6" t="inlineStr">
        <x:is>
          <x:t xml:space="preserve">Output</x:t>
        </x:is>
      </x:c>
      <x:c r="G6" s="6" t="inlineStr">
        <x:is>
          <x:t xml:space="preserve">Program tracking form</x:t>
        </x:is>
      </x:c>
      <x:c r="H6" s="6" t="inlineStr">
        <x:is>
          <x:t xml:space="preserve">Monthly / Quarterly</x:t>
        </x:is>
      </x:c>
      <x:c r="I6" s="6" t="inlineStr">
        <x:is>
          <x:t xml:space="preserve">Adult services + teen services</x:t>
        </x:is>
      </x:c>
      <x:c r="J6" s="6" t="inlineStr">
        <x:is>
          <x:t xml:space="preserve">Board + Management</x:t>
        </x:is>
      </x:c>
      <x:c r="K6" s="12" t="inlineStr">
        <x:is>
          <x:t xml:space="preserve"/>
        </x:is>
      </x:c>
      <x:c r="L6" s="12" t="inlineStr">
        <x:is>
          <x:t xml:space="preserve"/>
        </x:is>
      </x:c>
      <x:c r="M6" s="12" t="inlineStr">
        <x:is>
          <x:t xml:space="preserve"/>
        </x:is>
      </x:c>
      <x:c r="N6" s="13">
        <x:f>IF(M6="","",IF($L6="","",IF(M6&gt;=$L6/4,"On Track",IF(M6&gt;=$L6/4*0.85,"Watch","Needs Attention"))))</x:f>
      </x:c>
      <x:c r="O6" s="12" t="inlineStr">
        <x:is>
          <x:t xml:space="preserve"/>
        </x:is>
      </x:c>
      <x:c r="P6" s="13">
        <x:f>IF(O6="","",IF($L6="","",IF(O6&gt;=$L6/4,"On Track",IF(O6&gt;=$L6/4*0.85,"Watch","Needs Attention"))))</x:f>
      </x:c>
      <x:c r="Q6" s="12" t="inlineStr">
        <x:is>
          <x:t xml:space="preserve"/>
        </x:is>
      </x:c>
      <x:c r="R6" s="13">
        <x:f>IF(Q6="","",IF($L6="","",IF(Q6&gt;=$L6/4,"On Track",IF(Q6&gt;=$L6/4*0.85,"Watch","Needs Attention"))))</x:f>
      </x:c>
      <x:c r="S6" s="12" t="inlineStr">
        <x:is>
          <x:t xml:space="preserve"/>
        </x:is>
      </x:c>
      <x:c r="T6" s="13">
        <x:f>IF(S6="","",IF($L6="","",IF(S6&gt;=$L6/4,"On Track",IF(S6&gt;=$L6/4*0.85,"Watch","Needs Attention"))))</x:f>
      </x:c>
      <x:c r="U6" s="14">
        <x:f>IF(COUNTA(M6,O6,Q6,S6)=0,"",SUM(M6,O6,Q6,S6))</x:f>
      </x:c>
      <x:c r="V6" s="15">
        <x:f>IF(U6="","",IF($L6="","",IF(U6&gt;=$L6,"On Track",IF(U6&gt;=$L6*0.85,"Watch","Needs Attention"))))</x:f>
      </x:c>
      <x:c r="W6" t="inlineStr">
        <x:is>
          <x:t xml:space="preserve"/>
        </x:is>
      </x:c>
    </x:row>
    <x:row r="7" ht="32" customHeight="1">
      <x:c r="A7" s="6" t="inlineStr">
        <x:is>
          <x:t xml:space="preserve">SAL-06</x:t>
        </x:is>
      </x:c>
      <x:c r="B7" s="6" t="inlineStr">
        <x:is>
          <x:t xml:space="preserve">Goal 1</x:t>
        </x:is>
      </x:c>
      <x:c r="C7" s="6" t="inlineStr">
        <x:is>
          <x:t xml:space="preserve">Access to college, career, and workforce preparation</x:t>
        </x:is>
      </x:c>
      <x:c r="D7" s="6" t="inlineStr">
        <x:is>
          <x:t xml:space="preserve">% reporting progress toward education or career goals</x:t>
        </x:is>
      </x:c>
      <x:c r="E7" s="6" t="inlineStr">
        <x:is>
          <x:t xml:space="preserve">Share of surveyed participants reporting that a program helped them move forward in education, employment, or career planning</x:t>
        </x:is>
      </x:c>
      <x:c r="F7" s="6" t="inlineStr">
        <x:is>
          <x:t xml:space="preserve">Outcome</x:t>
        </x:is>
      </x:c>
      <x:c r="G7" s="6" t="inlineStr">
        <x:is>
          <x:t xml:space="preserve">Participant survey</x:t>
        </x:is>
      </x:c>
      <x:c r="H7" s="6" t="inlineStr">
        <x:is>
          <x:t xml:space="preserve">Quarterly / Annually</x:t>
        </x:is>
      </x:c>
      <x:c r="I7" s="6" t="inlineStr">
        <x:is>
          <x:t xml:space="preserve">Program leads + data team</x:t>
        </x:is>
      </x:c>
      <x:c r="J7" s="6" t="inlineStr">
        <x:is>
          <x:t xml:space="preserve">Board</x:t>
        </x:is>
      </x:c>
      <x:c r="K7" s="12" t="inlineStr">
        <x:is>
          <x:t xml:space="preserve"/>
        </x:is>
      </x:c>
      <x:c r="L7" s="12" t="inlineStr">
        <x:is>
          <x:t xml:space="preserve"/>
        </x:is>
      </x:c>
      <x:c r="M7" s="12" t="inlineStr">
        <x:is>
          <x:t xml:space="preserve"/>
        </x:is>
      </x:c>
      <x:c r="N7" s="13">
        <x:f>IF(M7="","",IF($L7="","",IF(M7&gt;=$L7/4,"On Track",IF(M7&gt;=$L7/4*0.85,"Watch","Needs Attention"))))</x:f>
      </x:c>
      <x:c r="O7" s="12" t="inlineStr">
        <x:is>
          <x:t xml:space="preserve"/>
        </x:is>
      </x:c>
      <x:c r="P7" s="13">
        <x:f>IF(O7="","",IF($L7="","",IF(O7&gt;=$L7/4,"On Track",IF(O7&gt;=$L7/4*0.85,"Watch","Needs Attention"))))</x:f>
      </x:c>
      <x:c r="Q7" s="12" t="inlineStr">
        <x:is>
          <x:t xml:space="preserve"/>
        </x:is>
      </x:c>
      <x:c r="R7" s="13">
        <x:f>IF(Q7="","",IF($L7="","",IF(Q7&gt;=$L7/4,"On Track",IF(Q7&gt;=$L7/4*0.85,"Watch","Needs Attention"))))</x:f>
      </x:c>
      <x:c r="S7" s="12" t="inlineStr">
        <x:is>
          <x:t xml:space="preserve"/>
        </x:is>
      </x:c>
      <x:c r="T7" s="13">
        <x:f>IF(S7="","",IF($L7="","",IF(S7&gt;=$L7/4,"On Track",IF(S7&gt;=$L7/4*0.85,"Watch","Needs Attention"))))</x:f>
      </x:c>
      <x:c r="U7" s="14">
        <x:f>IF(COUNTA(M7,O7,Q7,S7)=0,"",SUM(M7,O7,Q7,S7))</x:f>
      </x:c>
      <x:c r="V7" s="15">
        <x:f>IF(U7="","",IF($L7="","",IF(U7&gt;=$L7,"On Track",IF(U7&gt;=$L7*0.85,"Watch","Needs Attention"))))</x:f>
      </x:c>
      <x:c r="W7" t="inlineStr">
        <x:is>
          <x:t xml:space="preserve"/>
        </x:is>
      </x:c>
    </x:row>
    <x:row r="8" ht="32" customHeight="1">
      <x:c r="A8" s="6" t="inlineStr">
        <x:is>
          <x:t xml:space="preserve">SAL-07</x:t>
        </x:is>
      </x:c>
      <x:c r="B8" s="6" t="inlineStr">
        <x:is>
          <x:t xml:space="preserve">Goal 1</x:t>
        </x:is>
      </x:c>
      <x:c r="C8" s="6" t="inlineStr">
        <x:is>
          <x:t xml:space="preserve">Support for practical, transferable skills</x:t>
        </x:is>
      </x:c>
      <x:c r="D8" s="6" t="inlineStr">
        <x:is>
          <x:t xml:space="preserve">Participation in skill-building and enrichment programs</x:t>
        </x:is>
      </x:c>
      <x:c r="E8" s="6" t="inlineStr">
        <x:is>
          <x:t xml:space="preserve">Attendance in hands-on, skill-share, maker, enrichment, and practical life skill programs</x:t>
        </x:is>
      </x:c>
      <x:c r="F8" s="6" t="inlineStr">
        <x:is>
          <x:t xml:space="preserve">Output</x:t>
        </x:is>
      </x:c>
      <x:c r="G8" s="6" t="inlineStr">
        <x:is>
          <x:t xml:space="preserve">Program tracking form</x:t>
        </x:is>
      </x:c>
      <x:c r="H8" s="6" t="inlineStr">
        <x:is>
          <x:t xml:space="preserve">Monthly / Quarterly</x:t>
        </x:is>
      </x:c>
      <x:c r="I8" s="6" t="inlineStr">
        <x:is>
          <x:t xml:space="preserve">Programming staff</x:t>
        </x:is>
      </x:c>
      <x:c r="J8" s="6" t="inlineStr">
        <x:is>
          <x:t xml:space="preserve">Management</x:t>
        </x:is>
      </x:c>
      <x:c r="K8" s="12" t="inlineStr">
        <x:is>
          <x:t xml:space="preserve"/>
        </x:is>
      </x:c>
      <x:c r="L8" s="12" t="inlineStr">
        <x:is>
          <x:t xml:space="preserve"/>
        </x:is>
      </x:c>
      <x:c r="M8" s="12" t="inlineStr">
        <x:is>
          <x:t xml:space="preserve"/>
        </x:is>
      </x:c>
      <x:c r="N8" s="13">
        <x:f>IF(M8="","",IF($L8="","",IF(M8&gt;=$L8/4,"On Track",IF(M8&gt;=$L8/4*0.85,"Watch","Needs Attention"))))</x:f>
      </x:c>
      <x:c r="O8" s="12" t="inlineStr">
        <x:is>
          <x:t xml:space="preserve"/>
        </x:is>
      </x:c>
      <x:c r="P8" s="13">
        <x:f>IF(O8="","",IF($L8="","",IF(O8&gt;=$L8/4,"On Track",IF(O8&gt;=$L8/4*0.85,"Watch","Needs Attention"))))</x:f>
      </x:c>
      <x:c r="Q8" s="12" t="inlineStr">
        <x:is>
          <x:t xml:space="preserve"/>
        </x:is>
      </x:c>
      <x:c r="R8" s="13">
        <x:f>IF(Q8="","",IF($L8="","",IF(Q8&gt;=$L8/4,"On Track",IF(Q8&gt;=$L8/4*0.85,"Watch","Needs Attention"))))</x:f>
      </x:c>
      <x:c r="S8" s="12" t="inlineStr">
        <x:is>
          <x:t xml:space="preserve"/>
        </x:is>
      </x:c>
      <x:c r="T8" s="13">
        <x:f>IF(S8="","",IF($L8="","",IF(S8&gt;=$L8/4,"On Track",IF(S8&gt;=$L8/4*0.85,"Watch","Needs Attention"))))</x:f>
      </x:c>
      <x:c r="U8" s="14">
        <x:f>IF(COUNTA(M8,O8,Q8,S8)=0,"",SUM(M8,O8,Q8,S8))</x:f>
      </x:c>
      <x:c r="V8" s="15">
        <x:f>IF(U8="","",IF($L8="","",IF(U8&gt;=$L8,"On Track",IF(U8&gt;=$L8*0.85,"Watch","Needs Attention"))))</x:f>
      </x:c>
      <x:c r="W8" t="inlineStr">
        <x:is>
          <x:t xml:space="preserve"/>
        </x:is>
      </x:c>
    </x:row>
    <x:row r="9" ht="32" customHeight="1">
      <x:c r="A9" s="6" t="inlineStr">
        <x:is>
          <x:t xml:space="preserve">SAL-08</x:t>
        </x:is>
      </x:c>
      <x:c r="B9" s="6" t="inlineStr">
        <x:is>
          <x:t xml:space="preserve">Goal 1</x:t>
        </x:is>
      </x:c>
      <x:c r="C9" s="6" t="inlineStr">
        <x:is>
          <x:t xml:space="preserve">Support for practical, transferable skills</x:t>
        </x:is>
      </x:c>
      <x:c r="D9" s="6" t="inlineStr">
        <x:is>
          <x:t xml:space="preserve">Learning series completion rate</x:t>
        </x:is>
      </x:c>
      <x:c r="E9" s="6" t="inlineStr">
        <x:is>
          <x:t xml:space="preserve">Percent of participants who complete a multi-session class or structured learning series</x:t>
        </x:is>
      </x:c>
      <x:c r="F9" s="6" t="inlineStr">
        <x:is>
          <x:t xml:space="preserve">Outcome</x:t>
        </x:is>
      </x:c>
      <x:c r="G9" s="6" t="inlineStr">
        <x:is>
          <x:t xml:space="preserve">Registration + attendance records</x:t>
        </x:is>
      </x:c>
      <x:c r="H9" s="6" t="inlineStr">
        <x:is>
          <x:t xml:space="preserve">Quarterly</x:t>
        </x:is>
      </x:c>
      <x:c r="I9" s="6" t="inlineStr">
        <x:is>
          <x:t xml:space="preserve">Program leads</x:t>
        </x:is>
      </x:c>
      <x:c r="J9" s="6" t="inlineStr">
        <x:is>
          <x:t xml:space="preserve">Management</x:t>
        </x:is>
      </x:c>
      <x:c r="K9" s="12" t="inlineStr">
        <x:is>
          <x:t xml:space="preserve"/>
        </x:is>
      </x:c>
      <x:c r="L9" s="12" t="inlineStr">
        <x:is>
          <x:t xml:space="preserve"/>
        </x:is>
      </x:c>
      <x:c r="M9" s="12" t="inlineStr">
        <x:is>
          <x:t xml:space="preserve"/>
        </x:is>
      </x:c>
      <x:c r="N9" s="13">
        <x:f>IF(M9="","",IF($L9="","",IF(M9&gt;=$L9/4,"On Track",IF(M9&gt;=$L9/4*0.85,"Watch","Needs Attention"))))</x:f>
      </x:c>
      <x:c r="O9" s="12" t="inlineStr">
        <x:is>
          <x:t xml:space="preserve"/>
        </x:is>
      </x:c>
      <x:c r="P9" s="13">
        <x:f>IF(O9="","",IF($L9="","",IF(O9&gt;=$L9/4,"On Track",IF(O9&gt;=$L9/4*0.85,"Watch","Needs Attention"))))</x:f>
      </x:c>
      <x:c r="Q9" s="12" t="inlineStr">
        <x:is>
          <x:t xml:space="preserve"/>
        </x:is>
      </x:c>
      <x:c r="R9" s="13">
        <x:f>IF(Q9="","",IF($L9="","",IF(Q9&gt;=$L9/4,"On Track",IF(Q9&gt;=$L9/4*0.85,"Watch","Needs Attention"))))</x:f>
      </x:c>
      <x:c r="S9" s="12" t="inlineStr">
        <x:is>
          <x:t xml:space="preserve"/>
        </x:is>
      </x:c>
      <x:c r="T9" s="13">
        <x:f>IF(S9="","",IF($L9="","",IF(S9&gt;=$L9/4,"On Track",IF(S9&gt;=$L9/4*0.85,"Watch","Needs Attention"))))</x:f>
      </x:c>
      <x:c r="U9" s="14">
        <x:f>IF(COUNTA(M9,O9,Q9,S9)=0,"",SUM(M9,O9,Q9,S9))</x:f>
      </x:c>
      <x:c r="V9" s="15">
        <x:f>IF(U9="","",IF($L9="","",IF(U9&gt;=$L9,"On Track",IF(U9&gt;=$L9*0.85,"Watch","Needs Attention"))))</x:f>
      </x:c>
      <x:c r="W9" t="inlineStr">
        <x:is>
          <x:t xml:space="preserve"/>
        </x:is>
      </x:c>
    </x:row>
    <x:row r="10" ht="32" customHeight="1">
      <x:c r="A10" s="6" t="inlineStr">
        <x:is>
          <x:t xml:space="preserve">SAL-09</x:t>
        </x:is>
      </x:c>
      <x:c r="B10" s="6" t="inlineStr">
        <x:is>
          <x:t xml:space="preserve">Goal 1</x:t>
        </x:is>
      </x:c>
      <x:c r="C10" s="6" t="inlineStr">
        <x:is>
          <x:t xml:space="preserve">Support for young adults and new professionals</x:t>
        </x:is>
      </x:c>
      <x:c r="D10" s="6" t="inlineStr">
        <x:is>
          <x:t xml:space="preserve">Young adult mentoring/preparation participation</x:t>
        </x:is>
      </x:c>
      <x:c r="E10" s="6" t="inlineStr">
        <x:is>
          <x:t xml:space="preserve">Participants in mentoring, transition, leadership, or workforce preparation efforts for teens and young adults</x:t>
        </x:is>
      </x:c>
      <x:c r="F10" s="6" t="inlineStr">
        <x:is>
          <x:t xml:space="preserve">Output</x:t>
        </x:is>
      </x:c>
      <x:c r="G10" s="6" t="inlineStr">
        <x:is>
          <x:t xml:space="preserve">Program logs + partner reports</x:t>
        </x:is>
      </x:c>
      <x:c r="H10" s="6" t="inlineStr">
        <x:is>
          <x:t xml:space="preserve">Quarterly</x:t>
        </x:is>
      </x:c>
      <x:c r="I10" s="6" t="inlineStr">
        <x:is>
          <x:t xml:space="preserve">Teen services + adult learning staff</x:t>
        </x:is>
      </x:c>
      <x:c r="J10" s="6" t="inlineStr">
        <x:is>
          <x:t xml:space="preserve">Management</x:t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3">
        <x:f>IF(M10="","",IF($L10="","",IF(M10&gt;=$L10/4,"On Track",IF(M10&gt;=$L10/4*0.85,"Watch","Needs Attention"))))</x:f>
      </x:c>
      <x:c r="O10" s="12" t="inlineStr">
        <x:is>
          <x:t xml:space="preserve"/>
        </x:is>
      </x:c>
      <x:c r="P10" s="13">
        <x:f>IF(O10="","",IF($L10="","",IF(O10&gt;=$L10/4,"On Track",IF(O10&gt;=$L10/4*0.85,"Watch","Needs Attention"))))</x:f>
      </x:c>
      <x:c r="Q10" s="12" t="inlineStr">
        <x:is>
          <x:t xml:space="preserve"/>
        </x:is>
      </x:c>
      <x:c r="R10" s="13">
        <x:f>IF(Q10="","",IF($L10="","",IF(Q10&gt;=$L10/4,"On Track",IF(Q10&gt;=$L10/4*0.85,"Watch","Needs Attention"))))</x:f>
      </x:c>
      <x:c r="S10" s="12" t="inlineStr">
        <x:is>
          <x:t xml:space="preserve"/>
        </x:is>
      </x:c>
      <x:c r="T10" s="13">
        <x:f>IF(S10="","",IF($L10="","",IF(S10&gt;=$L10/4,"On Track",IF(S10&gt;=$L10/4*0.85,"Watch","Needs Attention"))))</x:f>
      </x:c>
      <x:c r="U10" s="14">
        <x:f>IF(COUNTA(M10,O10,Q10,S10)=0,"",SUM(M10,O10,Q10,S10))</x:f>
      </x:c>
      <x:c r="V10" s="15">
        <x:f>IF(U10="","",IF($L10="","",IF(U10&gt;=$L10,"On Track",IF(U10&gt;=$L10*0.85,"Watch","Needs Attention"))))</x:f>
      </x:c>
      <x:c r="W10" t="inlineStr">
        <x:is>
          <x:t xml:space="preserve"/>
        </x:is>
      </x:c>
    </x:row>
    <x:row r="11" ht="32" customHeight="1">
      <x:c r="A11" s="6" t="inlineStr">
        <x:is>
          <x:t xml:space="preserve">SAL-10</x:t>
        </x:is>
      </x:c>
      <x:c r="B11" s="6" t="inlineStr">
        <x:is>
          <x:t xml:space="preserve">Goal 2</x:t>
        </x:is>
      </x:c>
      <x:c r="C11" s="6" t="inlineStr">
        <x:is>
          <x:t xml:space="preserve">Engaging, fun, and accessible experiences</x:t>
        </x:is>
      </x:c>
      <x:c r="D11" s="6" t="inlineStr">
        <x:is>
          <x:t xml:space="preserve">Participant satisfaction score</x:t>
        </x:is>
      </x:c>
      <x:c r="E11" s="6" t="inlineStr">
        <x:is>
          <x:t xml:space="preserve">Average satisfaction rating from post-program surveys</x:t>
        </x:is>
      </x:c>
      <x:c r="F11" s="6" t="inlineStr">
        <x:is>
          <x:t xml:space="preserve">Outcome</x:t>
        </x:is>
      </x:c>
      <x:c r="G11" s="6" t="inlineStr">
        <x:is>
          <x:t xml:space="preserve">Participant survey</x:t>
        </x:is>
      </x:c>
      <x:c r="H11" s="6" t="inlineStr">
        <x:is>
          <x:t xml:space="preserve">Quarterly</x:t>
        </x:is>
      </x:c>
      <x:c r="I11" s="6" t="inlineStr">
        <x:is>
          <x:t xml:space="preserve">Program staff + data team</x:t>
        </x:is>
      </x:c>
      <x:c r="J11" s="6" t="inlineStr">
        <x:is>
          <x:t xml:space="preserve">Board + Management</x:t>
        </x:is>
      </x:c>
      <x:c r="K11" s="12" t="inlineStr">
        <x:is>
          <x:t xml:space="preserve"/>
        </x:is>
      </x:c>
      <x:c r="L11" s="12" t="inlineStr">
        <x:is>
          <x:t xml:space="preserve"/>
        </x:is>
      </x:c>
      <x:c r="M11" s="12" t="inlineStr">
        <x:is>
          <x:t xml:space="preserve"/>
        </x:is>
      </x:c>
      <x:c r="N11" s="13">
        <x:f>IF(M11="","",IF($L11="","",IF(M11&gt;=$L11/4,"On Track",IF(M11&gt;=$L11/4*0.85,"Watch","Needs Attention"))))</x:f>
      </x:c>
      <x:c r="O11" s="12" t="inlineStr">
        <x:is>
          <x:t xml:space="preserve"/>
        </x:is>
      </x:c>
      <x:c r="P11" s="13">
        <x:f>IF(O11="","",IF($L11="","",IF(O11&gt;=$L11/4,"On Track",IF(O11&gt;=$L11/4*0.85,"Watch","Needs Attention"))))</x:f>
      </x:c>
      <x:c r="Q11" s="12" t="inlineStr">
        <x:is>
          <x:t xml:space="preserve"/>
        </x:is>
      </x:c>
      <x:c r="R11" s="13">
        <x:f>IF(Q11="","",IF($L11="","",IF(Q11&gt;=$L11/4,"On Track",IF(Q11&gt;=$L11/4*0.85,"Watch","Needs Attention"))))</x:f>
      </x:c>
      <x:c r="S11" s="12" t="inlineStr">
        <x:is>
          <x:t xml:space="preserve"/>
        </x:is>
      </x:c>
      <x:c r="T11" s="13">
        <x:f>IF(S11="","",IF($L11="","",IF(S11&gt;=$L11/4,"On Track",IF(S11&gt;=$L11/4*0.85,"Watch","Needs Attention"))))</x:f>
      </x:c>
      <x:c r="U11" s="14">
        <x:f>IF(COUNTA(M11,O11,Q11,S11)=0,"",SUM(M11,O11,Q11,S11))</x:f>
      </x:c>
      <x:c r="V11" s="15">
        <x:f>IF(U11="","",IF($L11="","",IF(U11&gt;=$L11,"On Track",IF(U11&gt;=$L11*0.85,"Watch","Needs Attention"))))</x:f>
      </x:c>
      <x:c r="W11" t="inlineStr">
        <x:is>
          <x:t xml:space="preserve"/>
        </x:is>
      </x:c>
    </x:row>
    <x:row r="12" ht="32" customHeight="1">
      <x:c r="A12" s="6" t="inlineStr">
        <x:is>
          <x:t xml:space="preserve">SAL-11</x:t>
        </x:is>
      </x:c>
      <x:c r="B12" s="6" t="inlineStr">
        <x:is>
          <x:t xml:space="preserve">Goal 2</x:t>
        </x:is>
      </x:c>
      <x:c r="C12" s="6" t="inlineStr">
        <x:is>
          <x:t xml:space="preserve">Engaging, fun, and accessible experiences</x:t>
        </x:is>
      </x:c>
      <x:c r="D12" s="6" t="inlineStr">
        <x:is>
          <x:t xml:space="preserve">% rating programs as engaging/fun</x:t>
        </x:is>
      </x:c>
      <x:c r="E12" s="6" t="inlineStr">
        <x:is>
          <x:t xml:space="preserve">Share of surveyed participants who describe the learning experience as enjoyable, engaging, or interactive</x:t>
        </x:is>
      </x:c>
      <x:c r="F12" s="6" t="inlineStr">
        <x:is>
          <x:t xml:space="preserve">Outcome</x:t>
        </x:is>
      </x:c>
      <x:c r="G12" s="6" t="inlineStr">
        <x:is>
          <x:t xml:space="preserve">Participant survey</x:t>
        </x:is>
      </x:c>
      <x:c r="H12" s="6" t="inlineStr">
        <x:is>
          <x:t xml:space="preserve">Quarterly</x:t>
        </x:is>
      </x:c>
      <x:c r="I12" s="6" t="inlineStr">
        <x:is>
          <x:t xml:space="preserve">Program staff</x:t>
        </x:is>
      </x:c>
      <x:c r="J12" s="6" t="inlineStr">
        <x:is>
          <x:t xml:space="preserve">Board</x:t>
        </x:is>
      </x:c>
      <x:c r="K12" s="12" t="inlineStr">
        <x:is>
          <x:t xml:space="preserve"/>
        </x:is>
      </x:c>
      <x:c r="L12" s="12" t="inlineStr">
        <x:is>
          <x:t xml:space="preserve"/>
        </x:is>
      </x:c>
      <x:c r="M12" s="12" t="inlineStr">
        <x:is>
          <x:t xml:space="preserve"/>
        </x:is>
      </x:c>
      <x:c r="N12" s="13">
        <x:f>IF(M12="","",IF($L12="","",IF(M12&gt;=$L12/4,"On Track",IF(M12&gt;=$L12/4*0.85,"Watch","Needs Attention"))))</x:f>
      </x:c>
      <x:c r="O12" s="12" t="inlineStr">
        <x:is>
          <x:t xml:space="preserve"/>
        </x:is>
      </x:c>
      <x:c r="P12" s="13">
        <x:f>IF(O12="","",IF($L12="","",IF(O12&gt;=$L12/4,"On Track",IF(O12&gt;=$L12/4*0.85,"Watch","Needs Attention"))))</x:f>
      </x:c>
      <x:c r="Q12" s="12" t="inlineStr">
        <x:is>
          <x:t xml:space="preserve"/>
        </x:is>
      </x:c>
      <x:c r="R12" s="13">
        <x:f>IF(Q12="","",IF($L12="","",IF(Q12&gt;=$L12/4,"On Track",IF(Q12&gt;=$L12/4*0.85,"Watch","Needs Attention"))))</x:f>
      </x:c>
      <x:c r="S12" s="12" t="inlineStr">
        <x:is>
          <x:t xml:space="preserve"/>
        </x:is>
      </x:c>
      <x:c r="T12" s="13">
        <x:f>IF(S12="","",IF($L12="","",IF(S12&gt;=$L12/4,"On Track",IF(S12&gt;=$L12/4*0.85,"Watch","Needs Attention"))))</x:f>
      </x:c>
      <x:c r="U12" s="14">
        <x:f>IF(COUNTA(M12,O12,Q12,S12)=0,"",SUM(M12,O12,Q12,S12))</x:f>
      </x:c>
      <x:c r="V12" s="15">
        <x:f>IF(U12="","",IF($L12="","",IF(U12&gt;=$L12,"On Track",IF(U12&gt;=$L12*0.85,"Watch","Needs Attention"))))</x:f>
      </x:c>
      <x:c r="W12" t="inlineStr">
        <x:is>
          <x:t xml:space="preserve"/>
        </x:is>
      </x:c>
    </x:row>
    <x:row r="13" ht="32" customHeight="1">
      <x:c r="A13" s="6" t="inlineStr">
        <x:is>
          <x:t xml:space="preserve">SAL-12</x:t>
        </x:is>
      </x:c>
      <x:c r="B13" s="6" t="inlineStr">
        <x:is>
          <x:t xml:space="preserve">Goal 2</x:t>
        </x:is>
      </x:c>
      <x:c r="C13" s="6" t="inlineStr">
        <x:is>
          <x:t xml:space="preserve">Opportunities that connect generations through shared learning</x:t>
        </x:is>
      </x:c>
      <x:c r="D13" s="6" t="inlineStr">
        <x:is>
          <x:t xml:space="preserve">Number of intergenerational learning programs</x:t>
        </x:is>
      </x:c>
      <x:c r="E13" s="6" t="inlineStr">
        <x:is>
          <x:t xml:space="preserve">Programs intentionally designed for multiple generations to learn together or from one another</x:t>
        </x:is>
      </x:c>
      <x:c r="F13" s="6" t="inlineStr">
        <x:is>
          <x:t xml:space="preserve">Output</x:t>
        </x:is>
      </x:c>
      <x:c r="G13" s="6" t="inlineStr">
        <x:is>
          <x:t xml:space="preserve">Program tracking form</x:t>
        </x:is>
      </x:c>
      <x:c r="H13" s="6" t="inlineStr">
        <x:is>
          <x:t xml:space="preserve">Monthly / Quarterly</x:t>
        </x:is>
      </x:c>
      <x:c r="I13" s="6" t="inlineStr">
        <x:is>
          <x:t xml:space="preserve">Program staff</x:t>
        </x:is>
      </x:c>
      <x:c r="J13" s="6" t="inlineStr">
        <x:is>
          <x:t xml:space="preserve">Board + Management</x:t>
        </x:is>
      </x:c>
      <x:c r="K13" s="12" t="inlineStr">
        <x:is>
          <x:t xml:space="preserve"/>
        </x:is>
      </x:c>
      <x:c r="L13" s="12" t="inlineStr">
        <x:is>
          <x:t xml:space="preserve"/>
        </x:is>
      </x:c>
      <x:c r="M13" s="12" t="inlineStr">
        <x:is>
          <x:t xml:space="preserve"/>
        </x:is>
      </x:c>
      <x:c r="N13" s="13">
        <x:f>IF(M13="","",IF($L13="","",IF(M13&gt;=$L13/4,"On Track",IF(M13&gt;=$L13/4*0.85,"Watch","Needs Attention"))))</x:f>
      </x:c>
      <x:c r="O13" s="12" t="inlineStr">
        <x:is>
          <x:t xml:space="preserve"/>
        </x:is>
      </x:c>
      <x:c r="P13" s="13">
        <x:f>IF(O13="","",IF($L13="","",IF(O13&gt;=$L13/4,"On Track",IF(O13&gt;=$L13/4*0.85,"Watch","Needs Attention"))))</x:f>
      </x:c>
      <x:c r="Q13" s="12" t="inlineStr">
        <x:is>
          <x:t xml:space="preserve"/>
        </x:is>
      </x:c>
      <x:c r="R13" s="13">
        <x:f>IF(Q13="","",IF($L13="","",IF(Q13&gt;=$L13/4,"On Track",IF(Q13&gt;=$L13/4*0.85,"Watch","Needs Attention"))))</x:f>
      </x:c>
      <x:c r="S13" s="12" t="inlineStr">
        <x:is>
          <x:t xml:space="preserve"/>
        </x:is>
      </x:c>
      <x:c r="T13" s="13">
        <x:f>IF(S13="","",IF($L13="","",IF(S13&gt;=$L13/4,"On Track",IF(S13&gt;=$L13/4*0.85,"Watch","Needs Attention"))))</x:f>
      </x:c>
      <x:c r="U13" s="14">
        <x:f>IF(COUNTA(M13,O13,Q13,S13)=0,"",SUM(M13,O13,Q13,S13))</x:f>
      </x:c>
      <x:c r="V13" s="15">
        <x:f>IF(U13="","",IF($L13="","",IF(U13&gt;=$L13,"On Track",IF(U13&gt;=$L13*0.85,"Watch","Needs Attention"))))</x:f>
      </x:c>
      <x:c r="W13" t="inlineStr">
        <x:is>
          <x:t xml:space="preserve"/>
        </x:is>
      </x:c>
    </x:row>
    <x:row r="14" ht="32" customHeight="1">
      <x:c r="A14" s="6" t="inlineStr">
        <x:is>
          <x:t xml:space="preserve">SAL-13</x:t>
        </x:is>
      </x:c>
      <x:c r="B14" s="6" t="inlineStr">
        <x:is>
          <x:t xml:space="preserve">Goal 2</x:t>
        </x:is>
      </x:c>
      <x:c r="C14" s="6" t="inlineStr">
        <x:is>
          <x:t xml:space="preserve">Opportunities that connect generations through shared learning</x:t>
        </x:is>
      </x:c>
      <x:c r="D14" s="6" t="inlineStr">
        <x:is>
          <x:t xml:space="preserve">Intergenerational participation</x:t>
        </x:is>
      </x:c>
      <x:c r="E14" s="6" t="inlineStr">
        <x:is>
          <x:t xml:space="preserve">Total attendance in intergenerational programs</x:t>
        </x:is>
      </x:c>
      <x:c r="F14" s="6" t="inlineStr">
        <x:is>
          <x:t xml:space="preserve">Reach</x:t>
        </x:is>
      </x:c>
      <x:c r="G14" s="6" t="inlineStr">
        <x:is>
          <x:t xml:space="preserve">Attendance records</x:t>
        </x:is>
      </x:c>
      <x:c r="H14" s="6" t="inlineStr">
        <x:is>
          <x:t xml:space="preserve">Quarterly</x:t>
        </x:is>
      </x:c>
      <x:c r="I14" s="6" t="inlineStr">
        <x:is>
          <x:t xml:space="preserve">Data team</x:t>
        </x:is>
      </x:c>
      <x:c r="J14" s="6" t="inlineStr">
        <x:is>
          <x:t xml:space="preserve">Management</x:t>
        </x:is>
      </x:c>
      <x:c r="K14" s="12" t="inlineStr">
        <x:is>
          <x:t xml:space="preserve"/>
        </x:is>
      </x:c>
      <x:c r="L14" s="12" t="inlineStr">
        <x:is>
          <x:t xml:space="preserve"/>
        </x:is>
      </x:c>
      <x:c r="M14" s="12" t="inlineStr">
        <x:is>
          <x:t xml:space="preserve"/>
        </x:is>
      </x:c>
      <x:c r="N14" s="13">
        <x:f>IF(M14="","",IF($L14="","",IF(M14&gt;=$L14/4,"On Track",IF(M14&gt;=$L14/4*0.85,"Watch","Needs Attention"))))</x:f>
      </x:c>
      <x:c r="O14" s="12" t="inlineStr">
        <x:is>
          <x:t xml:space="preserve"/>
        </x:is>
      </x:c>
      <x:c r="P14" s="13">
        <x:f>IF(O14="","",IF($L14="","",IF(O14&gt;=$L14/4,"On Track",IF(O14&gt;=$L14/4*0.85,"Watch","Needs Attention"))))</x:f>
      </x:c>
      <x:c r="Q14" s="12" t="inlineStr">
        <x:is>
          <x:t xml:space="preserve"/>
        </x:is>
      </x:c>
      <x:c r="R14" s="13">
        <x:f>IF(Q14="","",IF($L14="","",IF(Q14&gt;=$L14/4,"On Track",IF(Q14&gt;=$L14/4*0.85,"Watch","Needs Attention"))))</x:f>
      </x:c>
      <x:c r="S14" s="12" t="inlineStr">
        <x:is>
          <x:t xml:space="preserve"/>
        </x:is>
      </x:c>
      <x:c r="T14" s="13">
        <x:f>IF(S14="","",IF($L14="","",IF(S14&gt;=$L14/4,"On Track",IF(S14&gt;=$L14/4*0.85,"Watch","Needs Attention"))))</x:f>
      </x:c>
      <x:c r="U14" s="14">
        <x:f>IF(COUNTA(M14,O14,Q14,S14)=0,"",SUM(M14,O14,Q14,S14))</x:f>
      </x:c>
      <x:c r="V14" s="15">
        <x:f>IF(U14="","",IF($L14="","",IF(U14&gt;=$L14,"On Track",IF(U14&gt;=$L14*0.85,"Watch","Needs Attention"))))</x:f>
      </x:c>
      <x:c r="W14" t="inlineStr">
        <x:is>
          <x:t xml:space="preserve"/>
        </x:is>
      </x:c>
    </x:row>
    <x:row r="15" ht="32" customHeight="1">
      <x:c r="A15" s="6" t="inlineStr">
        <x:is>
          <x:t xml:space="preserve">SAL-14</x:t>
        </x:is>
      </x:c>
      <x:c r="B15" s="6" t="inlineStr">
        <x:is>
          <x:t xml:space="preserve">Goal 2</x:t>
        </x:is>
      </x:c>
      <x:c r="C15" s="6" t="inlineStr">
        <x:is>
          <x:t xml:space="preserve">Engaging, fun, accessible learning</x:t>
        </x:is>
      </x:c>
      <x:c r="D15" s="6" t="inlineStr">
        <x:is>
          <x:t xml:space="preserve">% of programs using hands-on / creative / play-based methods</x:t>
        </x:is>
      </x:c>
      <x:c r="E15" s="6" t="inlineStr">
        <x:is>
          <x:t xml:space="preserve">Share of learning programs coded as interactive, hands-on, creative, or play-based</x:t>
        </x:is>
      </x:c>
      <x:c r="F15" s="6" t="inlineStr">
        <x:is>
          <x:t xml:space="preserve">Quality / Output</x:t>
        </x:is>
      </x:c>
      <x:c r="G15" s="6" t="inlineStr">
        <x:is>
          <x:t xml:space="preserve">Program tracking form</x:t>
        </x:is>
      </x:c>
      <x:c r="H15" s="6" t="inlineStr">
        <x:is>
          <x:t xml:space="preserve">Quarterly</x:t>
        </x:is>
      </x:c>
      <x:c r="I15" s="6" t="inlineStr">
        <x:is>
          <x:t xml:space="preserve">Programming managers</x:t>
        </x:is>
      </x:c>
      <x:c r="J15" s="6" t="inlineStr">
        <x:is>
          <x:t xml:space="preserve">Management</x:t>
        </x:is>
      </x:c>
      <x:c r="K15" s="12" t="inlineStr">
        <x:is>
          <x:t xml:space="preserve"/>
        </x:is>
      </x:c>
      <x:c r="L15" s="12" t="inlineStr">
        <x:is>
          <x:t xml:space="preserve"/>
        </x:is>
      </x:c>
      <x:c r="M15" s="12" t="inlineStr">
        <x:is>
          <x:t xml:space="preserve"/>
        </x:is>
      </x:c>
      <x:c r="N15" s="13">
        <x:f>IF(M15="","",IF($L15="","",IF(M15&gt;=$L15/4,"On Track",IF(M15&gt;=$L15/4*0.85,"Watch","Needs Attention"))))</x:f>
      </x:c>
      <x:c r="O15" s="12" t="inlineStr">
        <x:is>
          <x:t xml:space="preserve"/>
        </x:is>
      </x:c>
      <x:c r="P15" s="13">
        <x:f>IF(O15="","",IF($L15="","",IF(O15&gt;=$L15/4,"On Track",IF(O15&gt;=$L15/4*0.85,"Watch","Needs Attention"))))</x:f>
      </x:c>
      <x:c r="Q15" s="12" t="inlineStr">
        <x:is>
          <x:t xml:space="preserve"/>
        </x:is>
      </x:c>
      <x:c r="R15" s="13">
        <x:f>IF(Q15="","",IF($L15="","",IF(Q15&gt;=$L15/4,"On Track",IF(Q15&gt;=$L15/4*0.85,"Watch","Needs Attention"))))</x:f>
      </x:c>
      <x:c r="S15" s="12" t="inlineStr">
        <x:is>
          <x:t xml:space="preserve"/>
        </x:is>
      </x:c>
      <x:c r="T15" s="13">
        <x:f>IF(S15="","",IF($L15="","",IF(S15&gt;=$L15/4,"On Track",IF(S15&gt;=$L15/4*0.85,"Watch","Needs Attention"))))</x:f>
      </x:c>
      <x:c r="U15" s="14">
        <x:f>IF(COUNTA(M15,O15,Q15,S15)=0,"",SUM(M15,O15,Q15,S15))</x:f>
      </x:c>
      <x:c r="V15" s="15">
        <x:f>IF(U15="","",IF($L15="","",IF(U15&gt;=$L15,"On Track",IF(U15&gt;=$L15*0.85,"Watch","Needs Attention"))))</x:f>
      </x:c>
      <x:c r="W15" t="inlineStr">
        <x:is>
          <x:t xml:space="preserve"/>
        </x:is>
      </x:c>
    </x:row>
    <x:row r="16" ht="32" customHeight="1">
      <x:c r="A16" s="6" t="inlineStr">
        <x:is>
          <x:t xml:space="preserve">SAL-15</x:t>
        </x:is>
      </x:c>
      <x:c r="B16" s="6" t="inlineStr">
        <x:is>
          <x:t xml:space="preserve">Goal 2</x:t>
        </x:is>
      </x:c>
      <x:c r="C16" s="6" t="inlineStr">
        <x:is>
          <x:t xml:space="preserve">Coordinated learning across branches and partners</x:t>
        </x:is>
      </x:c>
      <x:c r="D16" s="6" t="inlineStr">
        <x:is>
          <x:t xml:space="preserve">Number of co-delivered programs with partners</x:t>
        </x:is>
      </x:c>
      <x:c r="E16" s="6" t="inlineStr">
        <x:is>
          <x:t xml:space="preserve">Programs planned or delivered jointly with schools, educators, nonprofits, or community partners</x:t>
        </x:is>
      </x:c>
      <x:c r="F16" s="6" t="inlineStr">
        <x:is>
          <x:t xml:space="preserve">Capacity / Output</x:t>
        </x:is>
      </x:c>
      <x:c r="G16" s="6" t="inlineStr">
        <x:is>
          <x:t xml:space="preserve">Partnership log + program form</x:t>
        </x:is>
      </x:c>
      <x:c r="H16" s="6" t="inlineStr">
        <x:is>
          <x:t xml:space="preserve">Quarterly</x:t>
        </x:is>
      </x:c>
      <x:c r="I16" s="6" t="inlineStr">
        <x:is>
          <x:t xml:space="preserve">Community engagement + branch managers</x:t>
        </x:is>
      </x:c>
      <x:c r="J16" s="6" t="inlineStr">
        <x:is>
          <x:t xml:space="preserve">Board + Management</x:t>
        </x:is>
      </x:c>
      <x:c r="K16" s="12" t="inlineStr">
        <x:is>
          <x:t xml:space="preserve"/>
        </x:is>
      </x:c>
      <x:c r="L16" s="12" t="inlineStr">
        <x:is>
          <x:t xml:space="preserve"/>
        </x:is>
      </x:c>
      <x:c r="M16" s="12" t="inlineStr">
        <x:is>
          <x:t xml:space="preserve"/>
        </x:is>
      </x:c>
      <x:c r="N16" s="13">
        <x:f>IF(M16="","",IF($L16="","",IF(M16&gt;=$L16/4,"On Track",IF(M16&gt;=$L16/4*0.85,"Watch","Needs Attention"))))</x:f>
      </x:c>
      <x:c r="O16" s="12" t="inlineStr">
        <x:is>
          <x:t xml:space="preserve"/>
        </x:is>
      </x:c>
      <x:c r="P16" s="13">
        <x:f>IF(O16="","",IF($L16="","",IF(O16&gt;=$L16/4,"On Track",IF(O16&gt;=$L16/4*0.85,"Watch","Needs Attention"))))</x:f>
      </x:c>
      <x:c r="Q16" s="12" t="inlineStr">
        <x:is>
          <x:t xml:space="preserve"/>
        </x:is>
      </x:c>
      <x:c r="R16" s="13">
        <x:f>IF(Q16="","",IF($L16="","",IF(Q16&gt;=$L16/4,"On Track",IF(Q16&gt;=$L16/4*0.85,"Watch","Needs Attention"))))</x:f>
      </x:c>
      <x:c r="S16" s="12" t="inlineStr">
        <x:is>
          <x:t xml:space="preserve"/>
        </x:is>
      </x:c>
      <x:c r="T16" s="13">
        <x:f>IF(S16="","",IF($L16="","",IF(S16&gt;=$L16/4,"On Track",IF(S16&gt;=$L16/4*0.85,"Watch","Needs Attention"))))</x:f>
      </x:c>
      <x:c r="U16" s="14">
        <x:f>IF(COUNTA(M16,O16,Q16,S16)=0,"",SUM(M16,O16,Q16,S16))</x:f>
      </x:c>
      <x:c r="V16" s="15">
        <x:f>IF(U16="","",IF($L16="","",IF(U16&gt;=$L16,"On Track",IF(U16&gt;=$L16*0.85,"Watch","Needs Attention"))))</x:f>
      </x:c>
      <x:c r="W16" t="inlineStr">
        <x:is>
          <x:t xml:space="preserve"/>
        </x:is>
      </x:c>
    </x:row>
    <x:row r="17" ht="32" customHeight="1">
      <x:c r="A17" s="6" t="inlineStr">
        <x:is>
          <x:t xml:space="preserve">SAL-16</x:t>
        </x:is>
      </x:c>
      <x:c r="B17" s="6" t="inlineStr">
        <x:is>
          <x:t xml:space="preserve">Goal 2</x:t>
        </x:is>
      </x:c>
      <x:c r="C17" s="6" t="inlineStr">
        <x:is>
          <x:t xml:space="preserve">Coordinated learning across branches and partners</x:t>
        </x:is>
      </x:c>
      <x:c r="D17" s="6" t="inlineStr">
        <x:is>
          <x:t xml:space="preserve">Number of active learning partnerships</x:t>
        </x:is>
      </x:c>
      <x:c r="E17" s="6" t="inlineStr">
        <x:is>
          <x:t xml:space="preserve">Active partner organizations engaged in learner-focused work during the reporting period</x:t>
        </x:is>
      </x:c>
      <x:c r="F17" s="6" t="inlineStr">
        <x:is>
          <x:t xml:space="preserve">Capacity</x:t>
        </x:is>
      </x:c>
      <x:c r="G17" s="6" t="inlineStr">
        <x:is>
          <x:t xml:space="preserve">Partnership log</x:t>
        </x:is>
      </x:c>
      <x:c r="H17" s="6" t="inlineStr">
        <x:is>
          <x:t xml:space="preserve">Quarterly / Annually</x:t>
        </x:is>
      </x:c>
      <x:c r="I17" s="6" t="inlineStr">
        <x:is>
          <x:t xml:space="preserve">Community engagement staff</x:t>
        </x:is>
      </x:c>
      <x:c r="J17" s="6" t="inlineStr">
        <x:is>
          <x:t xml:space="preserve">Board</x:t>
        </x:is>
      </x:c>
      <x:c r="K17" s="12" t="inlineStr">
        <x:is>
          <x:t xml:space="preserve"/>
        </x:is>
      </x:c>
      <x:c r="L17" s="12" t="inlineStr">
        <x:is>
          <x:t xml:space="preserve"/>
        </x:is>
      </x:c>
      <x:c r="M17" s="12" t="inlineStr">
        <x:is>
          <x:t xml:space="preserve"/>
        </x:is>
      </x:c>
      <x:c r="N17" s="13">
        <x:f>IF(M17="","",IF($L17="","",IF(M17&gt;=$L17/4,"On Track",IF(M17&gt;=$L17/4*0.85,"Watch","Needs Attention"))))</x:f>
      </x:c>
      <x:c r="O17" s="12" t="inlineStr">
        <x:is>
          <x:t xml:space="preserve"/>
        </x:is>
      </x:c>
      <x:c r="P17" s="13">
        <x:f>IF(O17="","",IF($L17="","",IF(O17&gt;=$L17/4,"On Track",IF(O17&gt;=$L17/4*0.85,"Watch","Needs Attention"))))</x:f>
      </x:c>
      <x:c r="Q17" s="12" t="inlineStr">
        <x:is>
          <x:t xml:space="preserve"/>
        </x:is>
      </x:c>
      <x:c r="R17" s="13">
        <x:f>IF(Q17="","",IF($L17="","",IF(Q17&gt;=$L17/4,"On Track",IF(Q17&gt;=$L17/4*0.85,"Watch","Needs Attention"))))</x:f>
      </x:c>
      <x:c r="S17" s="12" t="inlineStr">
        <x:is>
          <x:t xml:space="preserve"/>
        </x:is>
      </x:c>
      <x:c r="T17" s="13">
        <x:f>IF(S17="","",IF($L17="","",IF(S17&gt;=$L17/4,"On Track",IF(S17&gt;=$L17/4*0.85,"Watch","Needs Attention"))))</x:f>
      </x:c>
      <x:c r="U17" s="14">
        <x:f>IF(COUNTA(M17,O17,Q17,S17)=0,"",SUM(M17,O17,Q17,S17))</x:f>
      </x:c>
      <x:c r="V17" s="15">
        <x:f>IF(U17="","",IF($L17="","",IF(U17&gt;=$L17,"On Track",IF(U17&gt;=$L17*0.85,"Watch","Needs Attention"))))</x:f>
      </x:c>
      <x:c r="W17" t="inlineStr">
        <x:is>
          <x:t xml:space="preserve"/>
        </x:is>
      </x:c>
    </x:row>
    <x:row r="18" ht="32" customHeight="1">
      <x:c r="A18" s="6" t="inlineStr">
        <x:is>
          <x:t xml:space="preserve">SAL-17</x:t>
        </x:is>
      </x:c>
      <x:c r="B18" s="6" t="inlineStr">
        <x:is>
          <x:t xml:space="preserve">Goal 2</x:t>
        </x:is>
      </x:c>
      <x:c r="C18" s="6" t="inlineStr">
        <x:is>
          <x:t xml:space="preserve">Coordinated learning across branches</x:t>
        </x:is>
      </x:c>
      <x:c r="D18" s="6" t="inlineStr">
        <x:is>
          <x:t xml:space="preserve">% of branches participating in shared learning initiatives</x:t>
        </x:is>
      </x:c>
      <x:c r="E18" s="6" t="inlineStr">
        <x:is>
          <x:t xml:space="preserve">Share of branches contributing to a systemwide learning campaign, shared curriculum, or coordinated initiative</x:t>
        </x:is>
      </x:c>
      <x:c r="F18" s="6" t="inlineStr">
        <x:is>
          <x:t xml:space="preserve">Capacity</x:t>
        </x:is>
      </x:c>
      <x:c r="G18" s="6" t="inlineStr">
        <x:is>
          <x:t xml:space="preserve">Internal program reporting</x:t>
        </x:is>
      </x:c>
      <x:c r="H18" s="6" t="inlineStr">
        <x:is>
          <x:t xml:space="preserve">Quarterly</x:t>
        </x:is>
      </x:c>
      <x:c r="I18" s="6" t="inlineStr">
        <x:is>
          <x:t xml:space="preserve">Programming leadership</x:t>
        </x:is>
      </x:c>
      <x:c r="J18" s="6" t="inlineStr">
        <x:is>
          <x:t xml:space="preserve">Management</x:t>
        </x:is>
      </x:c>
      <x:c r="K18" s="12" t="inlineStr">
        <x:is>
          <x:t xml:space="preserve"/>
        </x:is>
      </x:c>
      <x:c r="L18" s="12" t="inlineStr">
        <x:is>
          <x:t xml:space="preserve"/>
        </x:is>
      </x:c>
      <x:c r="M18" s="12" t="inlineStr">
        <x:is>
          <x:t xml:space="preserve"/>
        </x:is>
      </x:c>
      <x:c r="N18" s="13">
        <x:f>IF(M18="","",IF($L18="","",IF(M18&gt;=$L18/4,"On Track",IF(M18&gt;=$L18/4*0.85,"Watch","Needs Attention"))))</x:f>
      </x:c>
      <x:c r="O18" s="12" t="inlineStr">
        <x:is>
          <x:t xml:space="preserve"/>
        </x:is>
      </x:c>
      <x:c r="P18" s="13">
        <x:f>IF(O18="","",IF($L18="","",IF(O18&gt;=$L18/4,"On Track",IF(O18&gt;=$L18/4*0.85,"Watch","Needs Attention"))))</x:f>
      </x:c>
      <x:c r="Q18" s="12" t="inlineStr">
        <x:is>
          <x:t xml:space="preserve"/>
        </x:is>
      </x:c>
      <x:c r="R18" s="13">
        <x:f>IF(Q18="","",IF($L18="","",IF(Q18&gt;=$L18/4,"On Track",IF(Q18&gt;=$L18/4*0.85,"Watch","Needs Attention"))))</x:f>
      </x:c>
      <x:c r="S18" s="12" t="inlineStr">
        <x:is>
          <x:t xml:space="preserve"/>
        </x:is>
      </x:c>
      <x:c r="T18" s="13">
        <x:f>IF(S18="","",IF($L18="","",IF(S18&gt;=$L18/4,"On Track",IF(S18&gt;=$L18/4*0.85,"Watch","Needs Attention"))))</x:f>
      </x:c>
      <x:c r="U18" s="14">
        <x:f>IF(COUNTA(M18,O18,Q18,S18)=0,"",SUM(M18,O18,Q18,S18))</x:f>
      </x:c>
      <x:c r="V18" s="15">
        <x:f>IF(U18="","",IF($L18="","",IF(U18&gt;=$L18,"On Track",IF(U18&gt;=$L18*0.85,"Watch","Needs Attention"))))</x:f>
      </x:c>
      <x:c r="W18" t="inlineStr">
        <x:is>
          <x:t xml:space="preserve"/>
        </x:is>
      </x:c>
    </x:row>
    <x:row r="19" ht="32" customHeight="1">
      <x:c r="A19" s="6" t="inlineStr">
        <x:is>
          <x:t xml:space="preserve">SAL-18</x:t>
        </x:is>
      </x:c>
      <x:c r="B19" s="6" t="inlineStr">
        <x:is>
          <x:t xml:space="preserve">Goal 2</x:t>
        </x:is>
      </x:c>
      <x:c r="C19" s="6" t="inlineStr">
        <x:is>
          <x:t xml:space="preserve">Joyful and welcoming learning</x:t>
        </x:is>
      </x:c>
      <x:c r="D19" s="6" t="inlineStr">
        <x:is>
          <x:t xml:space="preserve">Repeat participation rate</x:t>
        </x:is>
      </x:c>
      <x:c r="E19" s="6" t="inlineStr">
        <x:is>
          <x:t xml:space="preserve">Percent of learners who attend more than one program within the reporting period</x:t>
        </x:is>
      </x:c>
      <x:c r="F19" s="6" t="inlineStr">
        <x:is>
          <x:t xml:space="preserve">Reach / Outcome</x:t>
        </x:is>
      </x:c>
      <x:c r="G19" s="6" t="inlineStr">
        <x:is>
          <x:t xml:space="preserve">Registration system + attendance records</x:t>
        </x:is>
      </x:c>
      <x:c r="H19" s="6" t="inlineStr">
        <x:is>
          <x:t xml:space="preserve">Quarterly</x:t>
        </x:is>
      </x:c>
      <x:c r="I19" s="6" t="inlineStr">
        <x:is>
          <x:t xml:space="preserve">Data team</x:t>
        </x:is>
      </x:c>
      <x:c r="J19" s="6" t="inlineStr">
        <x:is>
          <x:t xml:space="preserve">Management</x:t>
        </x:is>
      </x:c>
      <x:c r="K19" s="12" t="inlineStr">
        <x:is>
          <x:t xml:space="preserve"/>
        </x:is>
      </x:c>
      <x:c r="L19" s="12" t="inlineStr">
        <x:is>
          <x:t xml:space="preserve"/>
        </x:is>
      </x:c>
      <x:c r="M19" s="12" t="inlineStr">
        <x:is>
          <x:t xml:space="preserve"/>
        </x:is>
      </x:c>
      <x:c r="N19" s="13">
        <x:f>IF(M19="","",IF($L19="","",IF(M19&gt;=$L19/4,"On Track",IF(M19&gt;=$L19/4*0.85,"Watch","Needs Attention"))))</x:f>
      </x:c>
      <x:c r="O19" s="12" t="inlineStr">
        <x:is>
          <x:t xml:space="preserve"/>
        </x:is>
      </x:c>
      <x:c r="P19" s="13">
        <x:f>IF(O19="","",IF($L19="","",IF(O19&gt;=$L19/4,"On Track",IF(O19&gt;=$L19/4*0.85,"Watch","Needs Attention"))))</x:f>
      </x:c>
      <x:c r="Q19" s="12" t="inlineStr">
        <x:is>
          <x:t xml:space="preserve"/>
        </x:is>
      </x:c>
      <x:c r="R19" s="13">
        <x:f>IF(Q19="","",IF($L19="","",IF(Q19&gt;=$L19/4,"On Track",IF(Q19&gt;=$L19/4*0.85,"Watch","Needs Attention"))))</x:f>
      </x:c>
      <x:c r="S19" s="12" t="inlineStr">
        <x:is>
          <x:t xml:space="preserve"/>
        </x:is>
      </x:c>
      <x:c r="T19" s="13">
        <x:f>IF(S19="","",IF($L19="","",IF(S19&gt;=$L19/4,"On Track",IF(S19&gt;=$L19/4*0.85,"Watch","Needs Attention"))))</x:f>
      </x:c>
      <x:c r="U19" s="14">
        <x:f>IF(COUNTA(M19,O19,Q19,S19)=0,"",SUM(M19,O19,Q19,S19))</x:f>
      </x:c>
      <x:c r="V19" s="15">
        <x:f>IF(U19="","",IF($L19="","",IF(U19&gt;=$L19,"On Track",IF(U19&gt;=$L19*0.85,"Watch","Needs Attention"))))</x:f>
      </x:c>
      <x:c r="W19" t="inlineStr">
        <x:is>
          <x:t xml:space="preserve"/>
        </x:is>
      </x:c>
    </x:row>
    <x:row r="20" ht="32" customHeight="1">
      <x:c r="A20" s="6" t="inlineStr">
        <x:is>
          <x:t xml:space="preserve">SAL-19</x:t>
        </x:is>
      </x:c>
      <x:c r="B20" s="6" t="inlineStr">
        <x:is>
          <x:t xml:space="preserve">Goal 3</x:t>
        </x:is>
      </x:c>
      <x:c r="C20" s="6" t="inlineStr">
        <x:is>
          <x:t xml:space="preserve">Support for foundational literacy and core skills</x:t>
        </x:is>
      </x:c>
      <x:c r="D20" s="6" t="inlineStr">
        <x:is>
          <x:t xml:space="preserve">Early literacy participation</x:t>
        </x:is>
      </x:c>
      <x:c r="E20" s="6" t="inlineStr">
        <x:is>
          <x:t xml:space="preserve">Attendance in storytimes, early literacy programs, and kindergarten readiness activities</x:t>
        </x:is>
      </x:c>
      <x:c r="F20" s="6" t="inlineStr">
        <x:is>
          <x:t xml:space="preserve">Output</x:t>
        </x:is>
      </x:c>
      <x:c r="G20" s="6" t="inlineStr">
        <x:is>
          <x:t xml:space="preserve">Program attendance data</x:t>
        </x:is>
      </x:c>
      <x:c r="H20" s="6" t="inlineStr">
        <x:is>
          <x:t xml:space="preserve">Monthly / Quarterly</x:t>
        </x:is>
      </x:c>
      <x:c r="I20" s="6" t="inlineStr">
        <x:is>
          <x:t xml:space="preserve">Youth and family learning staff</x:t>
        </x:is>
      </x:c>
      <x:c r="J20" s="6" t="inlineStr">
        <x:is>
          <x:t xml:space="preserve">Board + Management</x:t>
        </x:is>
      </x:c>
      <x:c r="K20" s="12" t="inlineStr">
        <x:is>
          <x:t xml:space="preserve"/>
        </x:is>
      </x:c>
      <x:c r="L20" s="12" t="inlineStr">
        <x:is>
          <x:t xml:space="preserve"/>
        </x:is>
      </x:c>
      <x:c r="M20" s="12" t="inlineStr">
        <x:is>
          <x:t xml:space="preserve"/>
        </x:is>
      </x:c>
      <x:c r="N20" s="13">
        <x:f>IF(M20="","",IF($L20="","",IF(M20&gt;=$L20/4,"On Track",IF(M20&gt;=$L20/4*0.85,"Watch","Needs Attention"))))</x:f>
      </x:c>
      <x:c r="O20" s="12" t="inlineStr">
        <x:is>
          <x:t xml:space="preserve"/>
        </x:is>
      </x:c>
      <x:c r="P20" s="13">
        <x:f>IF(O20="","",IF($L20="","",IF(O20&gt;=$L20/4,"On Track",IF(O20&gt;=$L20/4*0.85,"Watch","Needs Attention"))))</x:f>
      </x:c>
      <x:c r="Q20" s="12" t="inlineStr">
        <x:is>
          <x:t xml:space="preserve"/>
        </x:is>
      </x:c>
      <x:c r="R20" s="13">
        <x:f>IF(Q20="","",IF($L20="","",IF(Q20&gt;=$L20/4,"On Track",IF(Q20&gt;=$L20/4*0.85,"Watch","Needs Attention"))))</x:f>
      </x:c>
      <x:c r="S20" s="12" t="inlineStr">
        <x:is>
          <x:t xml:space="preserve"/>
        </x:is>
      </x:c>
      <x:c r="T20" s="13">
        <x:f>IF(S20="","",IF($L20="","",IF(S20&gt;=$L20/4,"On Track",IF(S20&gt;=$L20/4*0.85,"Watch","Needs Attention"))))</x:f>
      </x:c>
      <x:c r="U20" s="14">
        <x:f>IF(COUNTA(M20,O20,Q20,S20)=0,"",SUM(M20,O20,Q20,S20))</x:f>
      </x:c>
      <x:c r="V20" s="15">
        <x:f>IF(U20="","",IF($L20="","",IF(U20&gt;=$L20,"On Track",IF(U20&gt;=$L20*0.85,"Watch","Needs Attention"))))</x:f>
      </x:c>
      <x:c r="W20" t="inlineStr">
        <x:is>
          <x:t xml:space="preserve"/>
        </x:is>
      </x:c>
    </x:row>
    <x:row r="21" ht="32" customHeight="1">
      <x:c r="A21" s="6" t="inlineStr">
        <x:is>
          <x:t xml:space="preserve">SAL-20</x:t>
        </x:is>
      </x:c>
      <x:c r="B21" s="6" t="inlineStr">
        <x:is>
          <x:t xml:space="preserve">Goal 3</x:t>
        </x:is>
      </x:c>
      <x:c r="C21" s="6" t="inlineStr">
        <x:is>
          <x:t xml:space="preserve">Support for foundational literacy and core skills</x:t>
        </x:is>
      </x:c>
      <x:c r="D21" s="6" t="inlineStr">
        <x:is>
          <x:t xml:space="preserve">Literacy and reading engagement participation</x:t>
        </x:is>
      </x:c>
      <x:c r="E21" s="6" t="inlineStr">
        <x:is>
          <x:t xml:space="preserve">Attendance in reading-focused programs, literacy events, reading clubs, and similar learning supports</x:t>
        </x:is>
      </x:c>
      <x:c r="F21" s="6" t="inlineStr">
        <x:is>
          <x:t xml:space="preserve">Output</x:t>
        </x:is>
      </x:c>
      <x:c r="G21" s="6" t="inlineStr">
        <x:is>
          <x:t xml:space="preserve">Program tracking form</x:t>
        </x:is>
      </x:c>
      <x:c r="H21" s="6" t="inlineStr">
        <x:is>
          <x:t xml:space="preserve">Monthly / Quarterly</x:t>
        </x:is>
      </x:c>
      <x:c r="I21" s="6" t="inlineStr">
        <x:is>
          <x:t xml:space="preserve">Youth + adult learning staff</x:t>
        </x:is>
      </x:c>
      <x:c r="J21" s="6" t="inlineStr">
        <x:is>
          <x:t xml:space="preserve">Management</x:t>
        </x:is>
      </x:c>
      <x:c r="K21" s="12" t="inlineStr">
        <x:is>
          <x:t xml:space="preserve"/>
        </x:is>
      </x:c>
      <x:c r="L21" s="12" t="inlineStr">
        <x:is>
          <x:t xml:space="preserve"/>
        </x:is>
      </x:c>
      <x:c r="M21" s="12" t="inlineStr">
        <x:is>
          <x:t xml:space="preserve"/>
        </x:is>
      </x:c>
      <x:c r="N21" s="13">
        <x:f>IF(M21="","",IF($L21="","",IF(M21&gt;=$L21/4,"On Track",IF(M21&gt;=$L21/4*0.85,"Watch","Needs Attention"))))</x:f>
      </x:c>
      <x:c r="O21" s="12" t="inlineStr">
        <x:is>
          <x:t xml:space="preserve"/>
        </x:is>
      </x:c>
      <x:c r="P21" s="13">
        <x:f>IF(O21="","",IF($L21="","",IF(O21&gt;=$L21/4,"On Track",IF(O21&gt;=$L21/4*0.85,"Watch","Needs Attention"))))</x:f>
      </x:c>
      <x:c r="Q21" s="12" t="inlineStr">
        <x:is>
          <x:t xml:space="preserve"/>
        </x:is>
      </x:c>
      <x:c r="R21" s="13">
        <x:f>IF(Q21="","",IF($L21="","",IF(Q21&gt;=$L21/4,"On Track",IF(Q21&gt;=$L21/4*0.85,"Watch","Needs Attention"))))</x:f>
      </x:c>
      <x:c r="S21" s="12" t="inlineStr">
        <x:is>
          <x:t xml:space="preserve"/>
        </x:is>
      </x:c>
      <x:c r="T21" s="13">
        <x:f>IF(S21="","",IF($L21="","",IF(S21&gt;=$L21/4,"On Track",IF(S21&gt;=$L21/4*0.85,"Watch","Needs Attention"))))</x:f>
      </x:c>
      <x:c r="U21" s="14">
        <x:f>IF(COUNTA(M21,O21,Q21,S21)=0,"",SUM(M21,O21,Q21,S21))</x:f>
      </x:c>
      <x:c r="V21" s="15">
        <x:f>IF(U21="","",IF($L21="","",IF(U21&gt;=$L21,"On Track",IF(U21&gt;=$L21*0.85,"Watch","Needs Attention"))))</x:f>
      </x:c>
      <x:c r="W21" t="inlineStr">
        <x:is>
          <x:t xml:space="preserve"/>
        </x:is>
      </x:c>
    </x:row>
    <x:row r="22" ht="32" customHeight="1">
      <x:c r="A22" s="6" t="inlineStr">
        <x:is>
          <x:t xml:space="preserve">SAL-21</x:t>
        </x:is>
      </x:c>
      <x:c r="B22" s="6" t="inlineStr">
        <x:is>
          <x:t xml:space="preserve">Goal 3</x:t>
        </x:is>
      </x:c>
      <x:c r="C22" s="6" t="inlineStr">
        <x:is>
          <x:t xml:space="preserve">Support for building digital skills</x:t>
        </x:is>
      </x:c>
      <x:c r="D22" s="6" t="inlineStr">
        <x:is>
          <x:t xml:space="preserve">Digital literacy / technology skills participation</x:t>
        </x:is>
      </x:c>
      <x:c r="E22" s="6" t="inlineStr">
        <x:is>
          <x:t xml:space="preserve">Attendance in digital skills classes, device help, tech training, and one-on-one technology support</x:t>
        </x:is>
      </x:c>
      <x:c r="F22" s="6" t="inlineStr">
        <x:is>
          <x:t xml:space="preserve">Output</x:t>
        </x:is>
      </x:c>
      <x:c r="G22" s="6" t="inlineStr">
        <x:is>
          <x:t xml:space="preserve">Program forms + tech help logs</x:t>
        </x:is>
      </x:c>
      <x:c r="H22" s="6" t="inlineStr">
        <x:is>
          <x:t xml:space="preserve">Monthly / Quarterly</x:t>
        </x:is>
      </x:c>
      <x:c r="I22" s="6" t="inlineStr">
        <x:is>
          <x:t xml:space="preserve">Digital learning staff</x:t>
        </x:is>
      </x:c>
      <x:c r="J22" s="6" t="inlineStr">
        <x:is>
          <x:t xml:space="preserve">Board + Management</x:t>
        </x:is>
      </x:c>
      <x:c r="K22" s="12" t="inlineStr">
        <x:is>
          <x:t xml:space="preserve"/>
        </x:is>
      </x:c>
      <x:c r="L22" s="12" t="inlineStr">
        <x:is>
          <x:t xml:space="preserve"/>
        </x:is>
      </x:c>
      <x:c r="M22" s="12" t="inlineStr">
        <x:is>
          <x:t xml:space="preserve"/>
        </x:is>
      </x:c>
      <x:c r="N22" s="13">
        <x:f>IF(M22="","",IF($L22="","",IF(M22&gt;=$L22/4,"On Track",IF(M22&gt;=$L22/4*0.85,"Watch","Needs Attention"))))</x:f>
      </x:c>
      <x:c r="O22" s="12" t="inlineStr">
        <x:is>
          <x:t xml:space="preserve"/>
        </x:is>
      </x:c>
      <x:c r="P22" s="13">
        <x:f>IF(O22="","",IF($L22="","",IF(O22&gt;=$L22/4,"On Track",IF(O22&gt;=$L22/4*0.85,"Watch","Needs Attention"))))</x:f>
      </x:c>
      <x:c r="Q22" s="12" t="inlineStr">
        <x:is>
          <x:t xml:space="preserve"/>
        </x:is>
      </x:c>
      <x:c r="R22" s="13">
        <x:f>IF(Q22="","",IF($L22="","",IF(Q22&gt;=$L22/4,"On Track",IF(Q22&gt;=$L22/4*0.85,"Watch","Needs Attention"))))</x:f>
      </x:c>
      <x:c r="S22" s="12" t="inlineStr">
        <x:is>
          <x:t xml:space="preserve"/>
        </x:is>
      </x:c>
      <x:c r="T22" s="13">
        <x:f>IF(S22="","",IF($L22="","",IF(S22&gt;=$L22/4,"On Track",IF(S22&gt;=$L22/4*0.85,"Watch","Needs Attention"))))</x:f>
      </x:c>
      <x:c r="U22" s="14">
        <x:f>IF(COUNTA(M22,O22,Q22,S22)=0,"",SUM(M22,O22,Q22,S22))</x:f>
      </x:c>
      <x:c r="V22" s="15">
        <x:f>IF(U22="","",IF($L22="","",IF(U22&gt;=$L22,"On Track",IF(U22&gt;=$L22*0.85,"Watch","Needs Attention"))))</x:f>
      </x:c>
      <x:c r="W22" t="inlineStr">
        <x:is>
          <x:t xml:space="preserve"/>
        </x:is>
      </x:c>
    </x:row>
    <x:row r="23" ht="32" customHeight="1">
      <x:c r="A23" s="6" t="inlineStr">
        <x:is>
          <x:t xml:space="preserve">SAL-22</x:t>
        </x:is>
      </x:c>
      <x:c r="B23" s="6" t="inlineStr">
        <x:is>
          <x:t xml:space="preserve">Goal 3</x:t>
        </x:is>
      </x:c>
      <x:c r="C23" s="6" t="inlineStr">
        <x:is>
          <x:t xml:space="preserve">Support for foundational literacy, core skills, and digital skills</x:t>
        </x:is>
      </x:c>
      <x:c r="D23" s="6" t="inlineStr">
        <x:is>
          <x:t xml:space="preserve">% reporting improved confidence in a core skill</x:t>
        </x:is>
      </x:c>
      <x:c r="E23" s="6" t="inlineStr">
        <x:is>
          <x:t xml:space="preserve">Share of participants reporting increased confidence in reading, digital, practical, or social-emotional skills</x:t>
        </x:is>
      </x:c>
      <x:c r="F23" s="6" t="inlineStr">
        <x:is>
          <x:t xml:space="preserve">Outcome</x:t>
        </x:is>
      </x:c>
      <x:c r="G23" s="6" t="inlineStr">
        <x:is>
          <x:t xml:space="preserve">Participant survey</x:t>
        </x:is>
      </x:c>
      <x:c r="H23" s="6" t="inlineStr">
        <x:is>
          <x:t xml:space="preserve">Quarterly / Annually</x:t>
        </x:is>
      </x:c>
      <x:c r="I23" s="6" t="inlineStr">
        <x:is>
          <x:t xml:space="preserve">Program leads + data team</x:t>
        </x:is>
      </x:c>
      <x:c r="J23" s="6" t="inlineStr">
        <x:is>
          <x:t xml:space="preserve">Board</x:t>
        </x:is>
      </x:c>
      <x:c r="K23" s="12" t="inlineStr">
        <x:is>
          <x:t xml:space="preserve"/>
        </x:is>
      </x:c>
      <x:c r="L23" s="12" t="inlineStr">
        <x:is>
          <x:t xml:space="preserve"/>
        </x:is>
      </x:c>
      <x:c r="M23" s="12" t="inlineStr">
        <x:is>
          <x:t xml:space="preserve"/>
        </x:is>
      </x:c>
      <x:c r="N23" s="13">
        <x:f>IF(M23="","",IF($L23="","",IF(M23&gt;=$L23/4,"On Track",IF(M23&gt;=$L23/4*0.85,"Watch","Needs Attention"))))</x:f>
      </x:c>
      <x:c r="O23" s="12" t="inlineStr">
        <x:is>
          <x:t xml:space="preserve"/>
        </x:is>
      </x:c>
      <x:c r="P23" s="13">
        <x:f>IF(O23="","",IF($L23="","",IF(O23&gt;=$L23/4,"On Track",IF(O23&gt;=$L23/4*0.85,"Watch","Needs Attention"))))</x:f>
      </x:c>
      <x:c r="Q23" s="12" t="inlineStr">
        <x:is>
          <x:t xml:space="preserve"/>
        </x:is>
      </x:c>
      <x:c r="R23" s="13">
        <x:f>IF(Q23="","",IF($L23="","",IF(Q23&gt;=$L23/4,"On Track",IF(Q23&gt;=$L23/4*0.85,"Watch","Needs Attention"))))</x:f>
      </x:c>
      <x:c r="S23" s="12" t="inlineStr">
        <x:is>
          <x:t xml:space="preserve"/>
        </x:is>
      </x:c>
      <x:c r="T23" s="13">
        <x:f>IF(S23="","",IF($L23="","",IF(S23&gt;=$L23/4,"On Track",IF(S23&gt;=$L23/4*0.85,"Watch","Needs Attention"))))</x:f>
      </x:c>
      <x:c r="U23" s="14">
        <x:f>IF(COUNTA(M23,O23,Q23,S23)=0,"",SUM(M23,O23,Q23,S23))</x:f>
      </x:c>
      <x:c r="V23" s="15">
        <x:f>IF(U23="","",IF($L23="","",IF(U23&gt;=$L23,"On Track",IF(U23&gt;=$L23*0.85,"Watch","Needs Attention"))))</x:f>
      </x:c>
      <x:c r="W23" t="inlineStr">
        <x:is>
          <x:t xml:space="preserve"/>
        </x:is>
      </x:c>
    </x:row>
    <x:row r="24" ht="32" customHeight="1">
      <x:c r="A24" s="6" t="inlineStr">
        <x:is>
          <x:t xml:space="preserve">SAL-23</x:t>
        </x:is>
      </x:c>
      <x:c r="B24" s="6" t="inlineStr">
        <x:is>
          <x:t xml:space="preserve">Goal 3</x:t>
        </x:is>
      </x:c>
      <x:c r="C24" s="6" t="inlineStr">
        <x:is>
          <x:t xml:space="preserve">Access to diverse books, materials, and technology</x:t>
        </x:is>
      </x:c>
      <x:c r="D24" s="6" t="inlineStr">
        <x:is>
          <x:t xml:space="preserve">Learning materials circulation / use</x:t>
        </x:is>
      </x:c>
      <x:c r="E24" s="6" t="inlineStr">
        <x:is>
          <x:t xml:space="preserve">Checkouts or uses of materials that support learning, literacy, skill-building, and education</x:t>
        </x:is>
      </x:c>
      <x:c r="F24" s="6" t="inlineStr">
        <x:is>
          <x:t xml:space="preserve">Output / Reach</x:t>
        </x:is>
      </x:c>
      <x:c r="G24" s="6" t="inlineStr">
        <x:is>
          <x:t xml:space="preserve">ILS + digital platform data</x:t>
        </x:is>
      </x:c>
      <x:c r="H24" s="6" t="inlineStr">
        <x:is>
          <x:t xml:space="preserve">Monthly / Quarterly</x:t>
        </x:is>
      </x:c>
      <x:c r="I24" s="6" t="inlineStr">
        <x:is>
          <x:t xml:space="preserve">Collections staff + data team</x:t>
        </x:is>
      </x:c>
      <x:c r="J24" s="6" t="inlineStr">
        <x:is>
          <x:t xml:space="preserve">Board + Management</x:t>
        </x:is>
      </x:c>
      <x:c r="K24" s="12" t="inlineStr">
        <x:is>
          <x:t xml:space="preserve"/>
        </x:is>
      </x:c>
      <x:c r="L24" s="12" t="inlineStr">
        <x:is>
          <x:t xml:space="preserve"/>
        </x:is>
      </x:c>
      <x:c r="M24" s="12" t="inlineStr">
        <x:is>
          <x:t xml:space="preserve"/>
        </x:is>
      </x:c>
      <x:c r="N24" s="13">
        <x:f>IF(M24="","",IF($L24="","",IF(M24&gt;=$L24/4,"On Track",IF(M24&gt;=$L24/4*0.85,"Watch","Needs Attention"))))</x:f>
      </x:c>
      <x:c r="O24" s="12" t="inlineStr">
        <x:is>
          <x:t xml:space="preserve"/>
        </x:is>
      </x:c>
      <x:c r="P24" s="13">
        <x:f>IF(O24="","",IF($L24="","",IF(O24&gt;=$L24/4,"On Track",IF(O24&gt;=$L24/4*0.85,"Watch","Needs Attention"))))</x:f>
      </x:c>
      <x:c r="Q24" s="12" t="inlineStr">
        <x:is>
          <x:t xml:space="preserve"/>
        </x:is>
      </x:c>
      <x:c r="R24" s="13">
        <x:f>IF(Q24="","",IF($L24="","",IF(Q24&gt;=$L24/4,"On Track",IF(Q24&gt;=$L24/4*0.85,"Watch","Needs Attention"))))</x:f>
      </x:c>
      <x:c r="S24" s="12" t="inlineStr">
        <x:is>
          <x:t xml:space="preserve"/>
        </x:is>
      </x:c>
      <x:c r="T24" s="13">
        <x:f>IF(S24="","",IF($L24="","",IF(S24&gt;=$L24/4,"On Track",IF(S24&gt;=$L24/4*0.85,"Watch","Needs Attention"))))</x:f>
      </x:c>
      <x:c r="U24" s="14">
        <x:f>IF(COUNTA(M24,O24,Q24,S24)=0,"",SUM(M24,O24,Q24,S24))</x:f>
      </x:c>
      <x:c r="V24" s="15">
        <x:f>IF(U24="","",IF($L24="","",IF(U24&gt;=$L24,"On Track",IF(U24&gt;=$L24*0.85,"Watch","Needs Attention"))))</x:f>
      </x:c>
      <x:c r="W24" t="inlineStr">
        <x:is>
          <x:t xml:space="preserve"/>
        </x:is>
      </x:c>
    </x:row>
    <x:row r="25" ht="32" customHeight="1">
      <x:c r="A25" s="6" t="inlineStr">
        <x:is>
          <x:t xml:space="preserve">SAL-24</x:t>
        </x:is>
      </x:c>
      <x:c r="B25" s="6" t="inlineStr">
        <x:is>
          <x:t xml:space="preserve">Goal 3</x:t>
        </x:is>
      </x:c>
      <x:c r="C25" s="6" t="inlineStr">
        <x:is>
          <x:t xml:space="preserve">Access to diverse books, materials, and technology</x:t>
        </x:is>
      </x:c>
      <x:c r="D25" s="6" t="inlineStr">
        <x:is>
          <x:t xml:space="preserve">Digital learning resource usage</x:t>
        </x:is>
      </x:c>
      <x:c r="E25" s="6" t="inlineStr">
        <x:is>
          <x:t xml:space="preserve">Sessions, downloads, logins, or uses of digital learning platforms and online educational resources</x:t>
        </x:is>
      </x:c>
      <x:c r="F25" s="6" t="inlineStr">
        <x:is>
          <x:t xml:space="preserve">Output / Reach</x:t>
        </x:is>
      </x:c>
      <x:c r="G25" s="6" t="inlineStr">
        <x:is>
          <x:t xml:space="preserve">Vendor reports + analytics</x:t>
        </x:is>
      </x:c>
      <x:c r="H25" s="6" t="inlineStr">
        <x:is>
          <x:t xml:space="preserve">Monthly / Quarterly</x:t>
        </x:is>
      </x:c>
      <x:c r="I25" s="6" t="inlineStr">
        <x:is>
          <x:t xml:space="preserve">Electronic resources staff + data team</x:t>
        </x:is>
      </x:c>
      <x:c r="J25" s="6" t="inlineStr">
        <x:is>
          <x:t xml:space="preserve">Management</x:t>
        </x:is>
      </x:c>
      <x:c r="K25" s="12" t="inlineStr">
        <x:is>
          <x:t xml:space="preserve"/>
        </x:is>
      </x:c>
      <x:c r="L25" s="12" t="inlineStr">
        <x:is>
          <x:t xml:space="preserve"/>
        </x:is>
      </x:c>
      <x:c r="M25" s="12" t="inlineStr">
        <x:is>
          <x:t xml:space="preserve"/>
        </x:is>
      </x:c>
      <x:c r="N25" s="13">
        <x:f>IF(M25="","",IF($L25="","",IF(M25&gt;=$L25/4,"On Track",IF(M25&gt;=$L25/4*0.85,"Watch","Needs Attention"))))</x:f>
      </x:c>
      <x:c r="O25" s="12" t="inlineStr">
        <x:is>
          <x:t xml:space="preserve"/>
        </x:is>
      </x:c>
      <x:c r="P25" s="13">
        <x:f>IF(O25="","",IF($L25="","",IF(O25&gt;=$L25/4,"On Track",IF(O25&gt;=$L25/4*0.85,"Watch","Needs Attention"))))</x:f>
      </x:c>
      <x:c r="Q25" s="12" t="inlineStr">
        <x:is>
          <x:t xml:space="preserve"/>
        </x:is>
      </x:c>
      <x:c r="R25" s="13">
        <x:f>IF(Q25="","",IF($L25="","",IF(Q25&gt;=$L25/4,"On Track",IF(Q25&gt;=$L25/4*0.85,"Watch","Needs Attention"))))</x:f>
      </x:c>
      <x:c r="S25" s="12" t="inlineStr">
        <x:is>
          <x:t xml:space="preserve"/>
        </x:is>
      </x:c>
      <x:c r="T25" s="13">
        <x:f>IF(S25="","",IF($L25="","",IF(S25&gt;=$L25/4,"On Track",IF(S25&gt;=$L25/4*0.85,"Watch","Needs Attention"))))</x:f>
      </x:c>
      <x:c r="U25" s="14">
        <x:f>IF(COUNTA(M25,O25,Q25,S25)=0,"",SUM(M25,O25,Q25,S25))</x:f>
      </x:c>
      <x:c r="V25" s="15">
        <x:f>IF(U25="","",IF($L25="","",IF(U25&gt;=$L25,"On Track",IF(U25&gt;=$L25*0.85,"Watch","Needs Attention"))))</x:f>
      </x:c>
      <x:c r="W25" t="inlineStr">
        <x:is>
          <x:t xml:space="preserve"/>
        </x:is>
      </x:c>
    </x:row>
    <x:row r="26" ht="32" customHeight="1">
      <x:c r="A26" s="6" t="inlineStr">
        <x:is>
          <x:t xml:space="preserve">SAL-25</x:t>
        </x:is>
      </x:c>
      <x:c r="B26" s="6" t="inlineStr">
        <x:is>
          <x:t xml:space="preserve">Goal 3</x:t>
        </x:is>
      </x:c>
      <x:c r="C26" s="6" t="inlineStr">
        <x:is>
          <x:t xml:space="preserve">Wrap-around support for learners</x:t>
        </x:is>
      </x:c>
      <x:c r="D26" s="6" t="inlineStr">
        <x:is>
          <x:t xml:space="preserve">Parent/caregiver support engagements</x:t>
        </x:is>
      </x:c>
      <x:c r="E26" s="6" t="inlineStr">
        <x:is>
          <x:t xml:space="preserve">Interactions, workshops, or support opportunities for parents and caregivers related to child development, reading, learning, or school success</x:t>
        </x:is>
      </x:c>
      <x:c r="F26" s="6" t="inlineStr">
        <x:is>
          <x:t xml:space="preserve">Output</x:t>
        </x:is>
      </x:c>
      <x:c r="G26" s="6" t="inlineStr">
        <x:is>
          <x:t xml:space="preserve">Program logs + outreach logs</x:t>
        </x:is>
      </x:c>
      <x:c r="H26" s="6" t="inlineStr">
        <x:is>
          <x:t xml:space="preserve">Quarterly</x:t>
        </x:is>
      </x:c>
      <x:c r="I26" s="6" t="inlineStr">
        <x:is>
          <x:t xml:space="preserve">Youth and family learning staff</x:t>
        </x:is>
      </x:c>
      <x:c r="J26" s="6" t="inlineStr">
        <x:is>
          <x:t xml:space="preserve">Management</x:t>
        </x:is>
      </x:c>
      <x:c r="K26" s="12" t="inlineStr">
        <x:is>
          <x:t xml:space="preserve"/>
        </x:is>
      </x:c>
      <x:c r="L26" s="12" t="inlineStr">
        <x:is>
          <x:t xml:space="preserve"/>
        </x:is>
      </x:c>
      <x:c r="M26" s="12" t="inlineStr">
        <x:is>
          <x:t xml:space="preserve"/>
        </x:is>
      </x:c>
      <x:c r="N26" s="13">
        <x:f>IF(M26="","",IF($L26="","",IF(M26&gt;=$L26/4,"On Track",IF(M26&gt;=$L26/4*0.85,"Watch","Needs Attention"))))</x:f>
      </x:c>
      <x:c r="O26" s="12" t="inlineStr">
        <x:is>
          <x:t xml:space="preserve"/>
        </x:is>
      </x:c>
      <x:c r="P26" s="13">
        <x:f>IF(O26="","",IF($L26="","",IF(O26&gt;=$L26/4,"On Track",IF(O26&gt;=$L26/4*0.85,"Watch","Needs Attention"))))</x:f>
      </x:c>
      <x:c r="Q26" s="12" t="inlineStr">
        <x:is>
          <x:t xml:space="preserve"/>
        </x:is>
      </x:c>
      <x:c r="R26" s="13">
        <x:f>IF(Q26="","",IF($L26="","",IF(Q26&gt;=$L26/4,"On Track",IF(Q26&gt;=$L26/4*0.85,"Watch","Needs Attention"))))</x:f>
      </x:c>
      <x:c r="S26" s="12" t="inlineStr">
        <x:is>
          <x:t xml:space="preserve"/>
        </x:is>
      </x:c>
      <x:c r="T26" s="13">
        <x:f>IF(S26="","",IF($L26="","",IF(S26&gt;=$L26/4,"On Track",IF(S26&gt;=$L26/4*0.85,"Watch","Needs Attention"))))</x:f>
      </x:c>
      <x:c r="U26" s="14">
        <x:f>IF(COUNTA(M26,O26,Q26,S26)=0,"",SUM(M26,O26,Q26,S26))</x:f>
      </x:c>
      <x:c r="V26" s="15">
        <x:f>IF(U26="","",IF($L26="","",IF(U26&gt;=$L26,"On Track",IF(U26&gt;=$L26*0.85,"Watch","Needs Attention"))))</x:f>
      </x:c>
      <x:c r="W26" t="inlineStr">
        <x:is>
          <x:t xml:space="preserve"/>
        </x:is>
      </x:c>
    </x:row>
    <x:row r="27" ht="32" customHeight="1">
      <x:c r="A27" s="6" t="inlineStr">
        <x:is>
          <x:t xml:space="preserve">SAL-26</x:t>
        </x:is>
      </x:c>
      <x:c r="B27" s="6" t="inlineStr">
        <x:is>
          <x:t xml:space="preserve">Goal 3</x:t>
        </x:is>
      </x:c>
      <x:c r="C27" s="6" t="inlineStr">
        <x:is>
          <x:t xml:space="preserve">Wrap-around support for learners</x:t>
        </x:is>
      </x:c>
      <x:c r="D27" s="6" t="inlineStr">
        <x:is>
          <x:t xml:space="preserve">Learner referrals / connections to partner services</x:t>
        </x:is>
      </x:c>
      <x:c r="E27" s="6" t="inlineStr">
        <x:is>
          <x:t xml:space="preserve">Referrals or warm handoffs to schools, workforce agencies, literacy services, tutoring, or related resources</x:t>
        </x:is>
      </x:c>
      <x:c r="F27" s="6" t="inlineStr">
        <x:is>
          <x:t xml:space="preserve">Output / Capacity</x:t>
        </x:is>
      </x:c>
      <x:c r="G27" s="6" t="inlineStr">
        <x:is>
          <x:t xml:space="preserve">Referral log + partner reports</x:t>
        </x:is>
      </x:c>
      <x:c r="H27" s="6" t="inlineStr">
        <x:is>
          <x:t xml:space="preserve">Quarterly</x:t>
        </x:is>
      </x:c>
      <x:c r="I27" s="6" t="inlineStr">
        <x:is>
          <x:t xml:space="preserve">Frontline staff + community partners</x:t>
        </x:is>
      </x:c>
      <x:c r="J27" s="6" t="inlineStr">
        <x:is>
          <x:t xml:space="preserve">Management</x:t>
        </x:is>
      </x:c>
      <x:c r="K27" s="12" t="inlineStr">
        <x:is>
          <x:t xml:space="preserve"/>
        </x:is>
      </x:c>
      <x:c r="L27" s="12" t="inlineStr">
        <x:is>
          <x:t xml:space="preserve"/>
        </x:is>
      </x:c>
      <x:c r="M27" s="12" t="inlineStr">
        <x:is>
          <x:t xml:space="preserve"/>
        </x:is>
      </x:c>
      <x:c r="N27" s="13">
        <x:f>IF(M27="","",IF($L27="","",IF(M27&gt;=$L27/4,"On Track",IF(M27&gt;=$L27/4*0.85,"Watch","Needs Attention"))))</x:f>
      </x:c>
      <x:c r="O27" s="12" t="inlineStr">
        <x:is>
          <x:t xml:space="preserve"/>
        </x:is>
      </x:c>
      <x:c r="P27" s="13">
        <x:f>IF(O27="","",IF($L27="","",IF(O27&gt;=$L27/4,"On Track",IF(O27&gt;=$L27/4*0.85,"Watch","Needs Attention"))))</x:f>
      </x:c>
      <x:c r="Q27" s="12" t="inlineStr">
        <x:is>
          <x:t xml:space="preserve"/>
        </x:is>
      </x:c>
      <x:c r="R27" s="13">
        <x:f>IF(Q27="","",IF($L27="","",IF(Q27&gt;=$L27/4,"On Track",IF(Q27&gt;=$L27/4*0.85,"Watch","Needs Attention"))))</x:f>
      </x:c>
      <x:c r="S27" s="12" t="inlineStr">
        <x:is>
          <x:t xml:space="preserve"/>
        </x:is>
      </x:c>
      <x:c r="T27" s="13">
        <x:f>IF(S27="","",IF($L27="","",IF(S27&gt;=$L27/4,"On Track",IF(S27&gt;=$L27/4*0.85,"Watch","Needs Attention"))))</x:f>
      </x:c>
      <x:c r="U27" s="14">
        <x:f>IF(COUNTA(M27,O27,Q27,S27)=0,"",SUM(M27,O27,Q27,S27))</x:f>
      </x:c>
      <x:c r="V27" s="15">
        <x:f>IF(U27="","",IF($L27="","",IF(U27&gt;=$L27,"On Track",IF(U27&gt;=$L27*0.85,"Watch","Needs Attention"))))</x:f>
      </x:c>
      <x:c r="W27" t="inlineStr">
        <x:is>
          <x:t xml:space="preserve"/>
        </x:is>
      </x:c>
    </x:row>
    <x:row r="28" ht="32" customHeight="1">
      <x:c r="A28" s="6" t="inlineStr">
        <x:is>
          <x:t xml:space="preserve">SAL-27</x:t>
        </x:is>
      </x:c>
      <x:c r="B28" s="6" t="inlineStr">
        <x:is>
          <x:t xml:space="preserve">Goal 3</x:t>
        </x:is>
      </x:c>
      <x:c r="C28" s="6" t="inlineStr">
        <x:is>
          <x:t xml:space="preserve">Wrap-around support for learners</x:t>
        </x:is>
      </x:c>
      <x:c r="D28" s="6" t="inlineStr">
        <x:is>
          <x:t xml:space="preserve">Educator support services delivered</x:t>
        </x:is>
      </x:c>
      <x:c r="E28" s="6" t="inlineStr">
        <x:is>
          <x:t xml:space="preserve">Educator-facing services such as classroom support, teacher cards, resource support, book talks, or curriculum-aligned services</x:t>
        </x:is>
      </x:c>
      <x:c r="F28" s="6" t="inlineStr">
        <x:is>
          <x:t xml:space="preserve">Output</x:t>
        </x:is>
      </x:c>
      <x:c r="G28" s="6" t="inlineStr">
        <x:is>
          <x:t xml:space="preserve">Services for educators logs</x:t>
        </x:is>
      </x:c>
      <x:c r="H28" s="6" t="inlineStr">
        <x:is>
          <x:t xml:space="preserve">Quarterly</x:t>
        </x:is>
      </x:c>
      <x:c r="I28" s="6" t="inlineStr">
        <x:is>
          <x:t xml:space="preserve">Educator services staff</x:t>
        </x:is>
      </x:c>
      <x:c r="J28" s="6" t="inlineStr">
        <x:is>
          <x:t xml:space="preserve">Management</x:t>
        </x:is>
      </x:c>
      <x:c r="K28" s="12" t="inlineStr">
        <x:is>
          <x:t xml:space="preserve"/>
        </x:is>
      </x:c>
      <x:c r="L28" s="12" t="inlineStr">
        <x:is>
          <x:t xml:space="preserve"/>
        </x:is>
      </x:c>
      <x:c r="M28" s="12" t="inlineStr">
        <x:is>
          <x:t xml:space="preserve"/>
        </x:is>
      </x:c>
      <x:c r="N28" s="13">
        <x:f>IF(M28="","",IF($L28="","",IF(M28&gt;=$L28/4,"On Track",IF(M28&gt;=$L28/4*0.85,"Watch","Needs Attention"))))</x:f>
      </x:c>
      <x:c r="O28" s="12" t="inlineStr">
        <x:is>
          <x:t xml:space="preserve"/>
        </x:is>
      </x:c>
      <x:c r="P28" s="13">
        <x:f>IF(O28="","",IF($L28="","",IF(O28&gt;=$L28/4,"On Track",IF(O28&gt;=$L28/4*0.85,"Watch","Needs Attention"))))</x:f>
      </x:c>
      <x:c r="Q28" s="12" t="inlineStr">
        <x:is>
          <x:t xml:space="preserve"/>
        </x:is>
      </x:c>
      <x:c r="R28" s="13">
        <x:f>IF(Q28="","",IF($L28="","",IF(Q28&gt;=$L28/4,"On Track",IF(Q28&gt;=$L28/4*0.85,"Watch","Needs Attention"))))</x:f>
      </x:c>
      <x:c r="S28" s="12" t="inlineStr">
        <x:is>
          <x:t xml:space="preserve"/>
        </x:is>
      </x:c>
      <x:c r="T28" s="13">
        <x:f>IF(S28="","",IF($L28="","",IF(S28&gt;=$L28/4,"On Track",IF(S28&gt;=$L28/4*0.85,"Watch","Needs Attention"))))</x:f>
      </x:c>
      <x:c r="U28" s="14">
        <x:f>IF(COUNTA(M28,O28,Q28,S28)=0,"",SUM(M28,O28,Q28,S28))</x:f>
      </x:c>
      <x:c r="V28" s="15">
        <x:f>IF(U28="","",IF($L28="","",IF(U28&gt;=$L28,"On Track",IF(U28&gt;=$L28*0.85,"Watch","Needs Attention"))))</x:f>
      </x:c>
      <x:c r="W28" t="inlineStr">
        <x:is>
          <x:t xml:space="preserve"/>
        </x:is>
      </x:c>
    </x:row>
    <x:row r="29" ht="32" customHeight="1">
      <x:c r="A29" s="6" t="inlineStr">
        <x:is>
          <x:t xml:space="preserve">SAL-28</x:t>
        </x:is>
      </x:c>
      <x:c r="B29" s="6" t="inlineStr">
        <x:is>
          <x:t xml:space="preserve">Goal 3</x:t>
        </x:is>
      </x:c>
      <x:c r="C29" s="6" t="inlineStr">
        <x:is>
          <x:t xml:space="preserve">Equitable access for all ages and communities</x:t>
        </x:is>
      </x:c>
      <x:c r="D29" s="6" t="inlineStr">
        <x:is>
          <x:t xml:space="preserve">% of branches offering foundational skills programming each quarter</x:t>
        </x:is>
      </x:c>
      <x:c r="E29" s="6" t="inlineStr">
        <x:is>
          <x:t xml:space="preserve">Share of branches that delivered at least one foundational skills learning activity in the quarter</x:t>
        </x:is>
      </x:c>
      <x:c r="F29" s="6" t="inlineStr">
        <x:is>
          <x:t xml:space="preserve">Capacity / Reach</x:t>
        </x:is>
      </x:c>
      <x:c r="G29" s="6" t="inlineStr">
        <x:is>
          <x:t xml:space="preserve">Program tracking form</x:t>
        </x:is>
      </x:c>
      <x:c r="H29" s="6" t="inlineStr">
        <x:is>
          <x:t xml:space="preserve">Quarterly</x:t>
        </x:is>
      </x:c>
      <x:c r="I29" s="6" t="inlineStr">
        <x:is>
          <x:t xml:space="preserve">Programming leadership</x:t>
        </x:is>
      </x:c>
      <x:c r="J29" s="6" t="inlineStr">
        <x:is>
          <x:t xml:space="preserve">Board + Management</x:t>
        </x:is>
      </x:c>
      <x:c r="K29" s="12" t="inlineStr">
        <x:is>
          <x:t xml:space="preserve"/>
        </x:is>
      </x:c>
      <x:c r="L29" s="12" t="inlineStr">
        <x:is>
          <x:t xml:space="preserve"/>
        </x:is>
      </x:c>
      <x:c r="M29" s="12" t="inlineStr">
        <x:is>
          <x:t xml:space="preserve"/>
        </x:is>
      </x:c>
      <x:c r="N29" s="13">
        <x:f>IF(M29="","",IF($L29="","",IF(M29&gt;=$L29/4,"On Track",IF(M29&gt;=$L29/4*0.85,"Watch","Needs Attention"))))</x:f>
      </x:c>
      <x:c r="O29" s="12" t="inlineStr">
        <x:is>
          <x:t xml:space="preserve"/>
        </x:is>
      </x:c>
      <x:c r="P29" s="13">
        <x:f>IF(O29="","",IF($L29="","",IF(O29&gt;=$L29/4,"On Track",IF(O29&gt;=$L29/4*0.85,"Watch","Needs Attention"))))</x:f>
      </x:c>
      <x:c r="Q29" s="12" t="inlineStr">
        <x:is>
          <x:t xml:space="preserve"/>
        </x:is>
      </x:c>
      <x:c r="R29" s="13">
        <x:f>IF(Q29="","",IF($L29="","",IF(Q29&gt;=$L29/4,"On Track",IF(Q29&gt;=$L29/4*0.85,"Watch","Needs Attention"))))</x:f>
      </x:c>
      <x:c r="S29" s="12" t="inlineStr">
        <x:is>
          <x:t xml:space="preserve"/>
        </x:is>
      </x:c>
      <x:c r="T29" s="13">
        <x:f>IF(S29="","",IF($L29="","",IF(S29&gt;=$L29/4,"On Track",IF(S29&gt;=$L29/4*0.85,"Watch","Needs Attention"))))</x:f>
      </x:c>
      <x:c r="U29" s="14">
        <x:f>IF(COUNTA(M29,O29,Q29,S29)=0,"",SUM(M29,O29,Q29,S29))</x:f>
      </x:c>
      <x:c r="V29" s="15">
        <x:f>IF(U29="","",IF($L29="","",IF(U29&gt;=$L29,"On Track",IF(U29&gt;=$L29*0.85,"Watch","Needs Attention"))))</x:f>
      </x:c>
      <x:c r="W29" t="inlineStr">
        <x:is>
          <x:t xml:space="preserve"/>
        </x:is>
      </x:c>
    </x:row>
  </x:sheetData>
  <x:conditionalFormatting sqref="N2:N29">
    <x:cfRule type="expression" dxfId="0" priority="1">
      <x:formula>N2="On Track"</x:formula>
    </x:cfRule>
    <x:cfRule type="expression" dxfId="1" priority="2">
      <x:formula>N2="Watch"</x:formula>
    </x:cfRule>
    <x:cfRule type="expression" dxfId="2" priority="3">
      <x:formula>N2="Needs Attention"</x:formula>
    </x:cfRule>
  </x:conditionalFormatting>
  <x:conditionalFormatting sqref="P2:P29">
    <x:cfRule type="expression" dxfId="0" priority="4">
      <x:formula>P2="On Track"</x:formula>
    </x:cfRule>
    <x:cfRule type="expression" dxfId="1" priority="5">
      <x:formula>P2="Watch"</x:formula>
    </x:cfRule>
    <x:cfRule type="expression" dxfId="2" priority="6">
      <x:formula>P2="Needs Attention"</x:formula>
    </x:cfRule>
  </x:conditionalFormatting>
  <x:conditionalFormatting sqref="R2:R29">
    <x:cfRule type="expression" dxfId="0" priority="7">
      <x:formula>R2="On Track"</x:formula>
    </x:cfRule>
    <x:cfRule type="expression" dxfId="1" priority="8">
      <x:formula>R2="Watch"</x:formula>
    </x:cfRule>
    <x:cfRule type="expression" dxfId="2" priority="9">
      <x:formula>R2="Needs Attention"</x:formula>
    </x:cfRule>
  </x:conditionalFormatting>
  <x:conditionalFormatting sqref="T2:T29">
    <x:cfRule type="expression" dxfId="0" priority="10">
      <x:formula>T2="On Track"</x:formula>
    </x:cfRule>
    <x:cfRule type="expression" dxfId="1" priority="11">
      <x:formula>T2="Watch"</x:formula>
    </x:cfRule>
    <x:cfRule type="expression" dxfId="2" priority="12">
      <x:formula>T2="Needs Attention"</x:formula>
    </x:cfRule>
  </x:conditionalFormatting>
  <x:conditionalFormatting sqref="V2:V29">
    <x:cfRule type="expression" dxfId="0" priority="13">
      <x:formula>V2="On Track"</x:formula>
    </x:cfRule>
    <x:cfRule type="expression" dxfId="1" priority="14">
      <x:formula>V2="Watch"</x:formula>
    </x:cfRule>
    <x:cfRule type="expression" dxfId="2" priority="15">
      <x:formula>V2="Needs Attention"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c355c33ea042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10" customWidth="1"/>
  </x:cols>
  <x:sheetData>
    <x:row r="1">
      <x:c r="A1" s="5" t="inlineStr">
        <x:is>
          <x:t xml:space="preserve">Field</x:t>
        </x:is>
      </x:c>
      <x:c r="B1" s="5" t="inlineStr">
        <x:is>
          <x:t xml:space="preserve">Definition / Standard</x:t>
        </x:is>
      </x:c>
    </x:row>
    <x:row r="2">
      <x:c r="A2" s="6" t="inlineStr">
        <x:is>
          <x:t xml:space="preserve">Strategic Priority</x:t>
        </x:is>
      </x:c>
      <x:c r="B2" s="6" t="inlineStr">
        <x:is>
          <x:t xml:space="preserve">Supporting All Learners</x:t>
        </x:is>
      </x:c>
    </x:row>
    <x:row r="3">
      <x:c r="A3" s="6" t="inlineStr">
        <x:is>
          <x:t xml:space="preserve">Learning program</x:t>
        </x:is>
      </x:c>
      <x:c r="B3" s="6" t="inlineStr">
        <x:is>
          <x:t xml:space="preserve">Any class, workshop, series, event, or structured activity primarily intended to support literacy, skills, education, creativity, career readiness, or lifelong learning.</x:t>
        </x:is>
      </x:c>
    </x:row>
    <x:row r="4">
      <x:c r="A4" s="6" t="inlineStr">
        <x:is>
          <x:t xml:space="preserve">Unique learner</x:t>
        </x:is>
      </x:c>
      <x:c r="B4" s="6" t="inlineStr">
        <x:is>
          <x:t xml:space="preserve">An unduplicated participant counted once within the selected reporting period.</x:t>
        </x:is>
      </x:c>
    </x:row>
    <x:row r="5">
      <x:c r="A5" s="6" t="inlineStr">
        <x:is>
          <x:t xml:space="preserve">Foundational skills</x:t>
        </x:is>
      </x:c>
      <x:c r="B5" s="6" t="inlineStr">
        <x:is>
          <x:t xml:space="preserve">Reading, literacy, digital literacy, basic technology use, math readiness, social-emotional learning, and other core learner supports.</x:t>
        </x:is>
      </x:c>
    </x:row>
    <x:row r="6">
      <x:c r="A6" s="6" t="inlineStr">
        <x:is>
          <x:t xml:space="preserve">Intergenerational learning</x:t>
        </x:is>
      </x:c>
      <x:c r="B6" s="6" t="inlineStr">
        <x:is>
          <x:t xml:space="preserve">A program intentionally designed for participation across two or more age groups with shared learning.</x:t>
        </x:is>
      </x:c>
    </x:row>
    <x:row r="7">
      <x:c r="A7" s="6" t="inlineStr">
        <x:is>
          <x:t xml:space="preserve">Co-delivered program</x:t>
        </x:is>
      </x:c>
      <x:c r="B7" s="6" t="inlineStr">
        <x:is>
          <x:t xml:space="preserve">A program planned, resourced, or delivered with at least one external partner.</x:t>
        </x:is>
      </x:c>
    </x:row>
    <x:row r="8">
      <x:c r="A8" s="6" t="inlineStr">
        <x:is>
          <x:t xml:space="preserve">Outcome measure</x:t>
        </x:is>
      </x:c>
      <x:c r="B8" s="6" t="inlineStr">
        <x:is>
          <x:t xml:space="preserve">A measure showing change in confidence, knowledge, behavior, completion, or progress toward a goal, not just attendance.</x:t>
        </x:is>
      </x:c>
    </x:row>
    <x:row r="9">
      <x:c r="A9" s="6" t="inlineStr">
        <x:is>
          <x:t xml:space="preserve">Baseline</x:t>
        </x:is>
      </x:c>
      <x:c r="B9" s="6" t="inlineStr">
        <x:is>
          <x:t xml:space="preserve">Starting point used for comparison before the target year begins.</x:t>
        </x:is>
      </x:c>
    </x:row>
    <x:row r="10">
      <x:c r="A10" s="6" t="inlineStr">
        <x:is>
          <x:t xml:space="preserve">FY Target</x:t>
        </x:is>
      </x:c>
      <x:c r="B10" s="6" t="inlineStr">
        <x:is>
          <x:t xml:space="preserve">Expected full-year result for the KPI.</x:t>
        </x:is>
      </x:c>
    </x:row>
    <x:row r="11">
      <x:c r="A11" s="6" t="inlineStr">
        <x:is>
          <x:t xml:space="preserve">Status logic</x:t>
        </x:is>
      </x:c>
      <x:c r="B11" s="6" t="inlineStr">
        <x:is>
          <x:t xml:space="preserve">On Track = &gt;=100% of target pace; Watch = 85% to 99% of target pace; Needs Attention = &lt;85% of target pace.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8a5e68bfcdb4b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0" customWidth="1"/>
    <x:col min="3" max="3" width="14" customWidth="1"/>
    <x:col min="4" max="4" width="14" customWidth="1"/>
    <x:col min="5" max="5" width="28" customWidth="1"/>
    <x:col min="6" max="6" width="18" customWidth="1"/>
    <x:col min="7" max="7" width="42" customWidth="1"/>
  </x:cols>
  <x:sheetData>
    <x:row r="1">
      <x:c r="A1" s="7" t="inlineStr">
        <x:is>
          <x:t xml:space="preserve">Program / Service Area</x:t>
        </x:is>
      </x:c>
      <x:c r="B1" s="7" t="inlineStr">
        <x:is>
          <x:t xml:space="preserve">Related Offerings</x:t>
        </x:is>
      </x:c>
      <x:c r="C1" s="7" t="inlineStr">
        <x:is>
          <x:t xml:space="preserve">Primary Goal</x:t>
        </x:is>
      </x:c>
      <x:c r="D1" s="7" t="inlineStr">
        <x:is>
          <x:t xml:space="preserve">Secondary Goal</x:t>
        </x:is>
      </x:c>
      <x:c r="E1" s="7" t="inlineStr">
        <x:is>
          <x:t xml:space="preserve">Measurement Pillar</x:t>
        </x:is>
      </x:c>
      <x:c r="F1" s="7" t="inlineStr">
        <x:is>
          <x:t xml:space="preserve">Include in Board Dashboard?</x:t>
        </x:is>
      </x:c>
      <x:c r="G1" s="7" t="inlineStr">
        <x:is>
          <x:t xml:space="preserve">Notes</x:t>
        </x:is>
      </x:c>
    </x:row>
    <x:row r="2">
      <x:c r="A2" s="6" t="inlineStr">
        <x:is>
          <x:t xml:space="preserve">Collections &amp; Learning Materials</x:t>
        </x:is>
      </x:c>
      <x:c r="B2" s="6" t="inlineStr">
        <x:is>
          <x:t xml:space="preserve">Collections &amp; Learning Materials</x:t>
        </x:is>
      </x:c>
      <x:c r="C2" s="6" t="inlineStr">
        <x:is>
          <x:t xml:space="preserve">Goal 3</x:t>
        </x:is>
      </x:c>
      <x:c r="D2" s="6" t="inlineStr">
        <x:is>
          <x:t xml:space="preserve">Goal 1</x:t>
        </x:is>
      </x:c>
      <x:c r="E2" s="6" t="inlineStr">
        <x:is>
          <x:t xml:space="preserve">Learner Support Systems, Partnerships, and Learning Resources</x:t>
        </x:is>
      </x:c>
      <x:c r="F2" s="6" t="inlineStr">
        <x:is>
          <x:t xml:space="preserve">Yes</x:t>
        </x:is>
      </x:c>
      <x:c r="G2" s="6" t="inlineStr">
        <x:is>
          <x:t xml:space="preserve">Track circulation / usage of learning-supportive materials.</x:t>
        </x:is>
      </x:c>
    </x:row>
    <x:row r="3">
      <x:c r="A3" s="6" t="inlineStr">
        <x:is>
          <x:t xml:space="preserve">Early Literacy</x:t>
        </x:is>
      </x:c>
      <x:c r="B3" s="6" t="inlineStr">
        <x:is>
          <x:t xml:space="preserve">Early Literacy</x:t>
        </x:is>
      </x:c>
      <x:c r="C3" s="6" t="inlineStr">
        <x:is>
          <x:t xml:space="preserve">Goal 3</x:t>
        </x:is>
      </x:c>
      <x:c r="D3" s="6" t="inlineStr">
        <x:is>
          <x:t xml:space="preserve">Goal 2</x:t>
        </x:is>
      </x:c>
      <x:c r="E3" s="6" t="inlineStr">
        <x:is>
          <x:t xml:space="preserve">Foundational Skills Development</x:t>
        </x:is>
      </x:c>
      <x:c r="F3" s="6" t="inlineStr">
        <x:is>
          <x:t xml:space="preserve">Yes</x:t>
        </x:is>
      </x:c>
      <x:c r="G3" s="6" t="inlineStr">
        <x:is>
          <x:t xml:space="preserve">Include storytimes, kindergarten readiness, caregiver literacy support.</x:t>
        </x:is>
      </x:c>
    </x:row>
    <x:row r="4">
      <x:c r="A4" s="6" t="inlineStr">
        <x:is>
          <x:t xml:space="preserve">Youth &amp; Family Learning</x:t>
        </x:is>
      </x:c>
      <x:c r="B4" s="6" t="inlineStr">
        <x:is>
          <x:t xml:space="preserve">Youth &amp; Family Learning</x:t>
        </x:is>
      </x:c>
      <x:c r="C4" s="6" t="inlineStr">
        <x:is>
          <x:t xml:space="preserve">Goal 3</x:t>
        </x:is>
      </x:c>
      <x:c r="D4" s="6" t="inlineStr">
        <x:is>
          <x:t xml:space="preserve">Goal 2</x:t>
        </x:is>
      </x:c>
      <x:c r="E4" s="6" t="inlineStr">
        <x:is>
          <x:t xml:space="preserve">Access to Learning Opportunities</x:t>
        </x:is>
      </x:c>
      <x:c r="F4" s="6" t="inlineStr">
        <x:is>
          <x:t xml:space="preserve">Yes</x:t>
        </x:is>
      </x:c>
      <x:c r="G4" s="6" t="inlineStr">
        <x:is>
          <x:t xml:space="preserve">Use age-group participation and caregiver engagement.</x:t>
        </x:is>
      </x:c>
    </x:row>
    <x:row r="5">
      <x:c r="A5" s="6" t="inlineStr">
        <x:is>
          <x:t xml:space="preserve">Adult Lifelong Learning</x:t>
        </x:is>
      </x:c>
      <x:c r="B5" s="6" t="inlineStr">
        <x:is>
          <x:t xml:space="preserve">Adult Lifelong Learning</x:t>
        </x:is>
      </x:c>
      <x:c r="C5" s="6" t="inlineStr">
        <x:is>
          <x:t xml:space="preserve">Goal 1</x:t>
        </x:is>
      </x:c>
      <x:c r="D5" s="6" t="inlineStr">
        <x:is>
          <x:t xml:space="preserve">Goal 2</x:t>
        </x:is>
      </x:c>
      <x:c r="E5" s="6" t="inlineStr">
        <x:is>
          <x:t xml:space="preserve">Access to Learning Opportunities</x:t>
        </x:is>
      </x:c>
      <x:c r="F5" s="6" t="inlineStr">
        <x:is>
          <x:t xml:space="preserve">Yes</x:t>
        </x:is>
      </x:c>
      <x:c r="G5" s="6" t="inlineStr">
        <x:is>
          <x:t xml:space="preserve">Track classes, workshops, unique learners, satisfaction.</x:t>
        </x:is>
      </x:c>
    </x:row>
    <x:row r="6">
      <x:c r="A6" s="6" t="inlineStr">
        <x:is>
          <x:t xml:space="preserve">Skill Development &amp; Enrichment</x:t>
        </x:is>
      </x:c>
      <x:c r="B6" s="6" t="inlineStr">
        <x:is>
          <x:t xml:space="preserve">Skill Development &amp; Enrichment</x:t>
        </x:is>
      </x:c>
      <x:c r="C6" s="6" t="inlineStr">
        <x:is>
          <x:t xml:space="preserve">Goal 1</x:t>
        </x:is>
      </x:c>
      <x:c r="D6" s="6" t="inlineStr">
        <x:is>
          <x:t xml:space="preserve">Goal 2</x:t>
        </x:is>
      </x:c>
      <x:c r="E6" s="6" t="inlineStr">
        <x:is>
          <x:t xml:space="preserve">Personal Growth, Career, and Life Readiness</x:t>
        </x:is>
      </x:c>
      <x:c r="F6" s="6" t="inlineStr">
        <x:is>
          <x:t xml:space="preserve">Yes</x:t>
        </x:is>
      </x:c>
      <x:c r="G6" s="6" t="inlineStr">
        <x:is>
          <x:t xml:space="preserve">Track practical skills, completion, self-reported gains.</x:t>
        </x:is>
      </x:c>
    </x:row>
    <x:row r="7">
      <x:c r="A7" s="6" t="inlineStr">
        <x:is>
          <x:t xml:space="preserve">Literacy &amp; Reading Engagement</x:t>
        </x:is>
      </x:c>
      <x:c r="B7" s="6" t="inlineStr">
        <x:is>
          <x:t xml:space="preserve">Literacy &amp; Reading Engagement</x:t>
        </x:is>
      </x:c>
      <x:c r="C7" s="6" t="inlineStr">
        <x:is>
          <x:t xml:space="preserve">Goal 3</x:t>
        </x:is>
      </x:c>
      <x:c r="D7" s="6" t="inlineStr">
        <x:is>
          <x:t xml:space="preserve">Goal 2</x:t>
        </x:is>
      </x:c>
      <x:c r="E7" s="6" t="inlineStr">
        <x:is>
          <x:t xml:space="preserve">Foundational Skills Development</x:t>
        </x:is>
      </x:c>
      <x:c r="F7" s="6" t="inlineStr">
        <x:is>
          <x:t xml:space="preserve">Yes</x:t>
        </x:is>
      </x:c>
      <x:c r="G7" s="6" t="inlineStr">
        <x:is>
          <x:t xml:space="preserve">Track reading participation and confidence gains.</x:t>
        </x:is>
      </x:c>
    </x:row>
    <x:row r="8">
      <x:c r="A8" s="6" t="inlineStr">
        <x:is>
          <x:t xml:space="preserve">Digital Learning, Access &amp; Technology Skills</x:t>
        </x:is>
      </x:c>
      <x:c r="B8" s="6" t="inlineStr">
        <x:is>
          <x:t xml:space="preserve">Digital Learning, Access &amp; Technology Skills</x:t>
        </x:is>
      </x:c>
      <x:c r="C8" s="6" t="inlineStr">
        <x:is>
          <x:t xml:space="preserve">Goal 3</x:t>
        </x:is>
      </x:c>
      <x:c r="D8" s="6" t="inlineStr">
        <x:is>
          <x:t xml:space="preserve">Goal 1</x:t>
        </x:is>
      </x:c>
      <x:c r="E8" s="6" t="inlineStr">
        <x:is>
          <x:t xml:space="preserve">Foundational Skills Development</x:t>
        </x:is>
      </x:c>
      <x:c r="F8" s="6" t="inlineStr">
        <x:is>
          <x:t xml:space="preserve">Yes</x:t>
        </x:is>
      </x:c>
      <x:c r="G8" s="6" t="inlineStr">
        <x:is>
          <x:t xml:space="preserve">Track classes, one-on-one help, digital confidence.</x:t>
        </x:is>
      </x:c>
    </x:row>
    <x:row r="9">
      <x:c r="A9" s="6" t="inlineStr">
        <x:is>
          <x:t xml:space="preserve">Services for Educators</x:t>
        </x:is>
      </x:c>
      <x:c r="B9" s="6" t="inlineStr">
        <x:is>
          <x:t xml:space="preserve">Services for Educators</x:t>
        </x:is>
      </x:c>
      <x:c r="C9" s="6" t="inlineStr">
        <x:is>
          <x:t xml:space="preserve">Goal 3</x:t>
        </x:is>
      </x:c>
      <x:c r="D9" s="6" t="inlineStr">
        <x:is>
          <x:t xml:space="preserve">Goal 2</x:t>
        </x:is>
      </x:c>
      <x:c r="E9" s="6" t="inlineStr">
        <x:is>
          <x:t xml:space="preserve">Learner Support Systems, Partnerships, and Learning Resources</x:t>
        </x:is>
      </x:c>
      <x:c r="F9" s="6" t="inlineStr">
        <x:is>
          <x:t xml:space="preserve">No</x:t>
        </x:is>
      </x:c>
      <x:c r="G9" s="6" t="inlineStr">
        <x:is>
          <x:t xml:space="preserve">Track educator services and school partnerships.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3e13c731fc143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4" customWidth="1"/>
    <x:col min="4" max="4" width="18" customWidth="1"/>
    <x:col min="5" max="5" width="14" customWidth="1"/>
    <x:col min="6" max="6" width="14" customWidth="1"/>
    <x:col min="7" max="7" width="26" customWidth="1"/>
    <x:col min="8" max="8" width="20" customWidth="1"/>
    <x:col min="9" max="9" width="16" customWidth="1"/>
    <x:col min="10" max="10" width="18" customWidth="1"/>
    <x:col min="11" max="11" width="16" customWidth="1"/>
    <x:col min="12" max="12" width="16" customWidth="1"/>
    <x:col min="13" max="13" width="14" customWidth="1"/>
    <x:col min="14" max="14" width="12" customWidth="1"/>
    <x:col min="15" max="15" width="14" customWidth="1"/>
    <x:col min="16" max="16" width="12" customWidth="1"/>
    <x:col min="17" max="17" width="14" customWidth="1"/>
    <x:col min="18" max="18" width="22" customWidth="1"/>
    <x:col min="19" max="19" width="12" customWidth="1"/>
    <x:col min="20" max="20" width="18" customWidth="1"/>
    <x:col min="21" max="21" width="24" customWidth="1"/>
  </x:cols>
  <x:sheetData>
    <x:row r="1">
      <x:c r="A1" s="7" t="inlineStr">
        <x:is>
          <x:t xml:space="preserve">Month</x:t>
        </x:is>
      </x:c>
      <x:c r="B1" s="7" t="inlineStr">
        <x:is>
          <x:t xml:space="preserve">Branch</x:t>
        </x:is>
      </x:c>
      <x:c r="C1" s="7" t="inlineStr">
        <x:is>
          <x:t xml:space="preserve">Program / Service</x:t>
        </x:is>
      </x:c>
      <x:c r="D1" s="7" t="inlineStr">
        <x:is>
          <x:t xml:space="preserve">Program Type</x:t>
        </x:is>
      </x:c>
      <x:c r="E1" s="7" t="inlineStr">
        <x:is>
          <x:t xml:space="preserve">Age Group</x:t>
        </x:is>
      </x:c>
      <x:c r="F1" s="7" t="inlineStr">
        <x:is>
          <x:t xml:space="preserve">Strategic Goal</x:t>
        </x:is>
      </x:c>
      <x:c r="G1" s="7" t="inlineStr">
        <x:is>
          <x:t xml:space="preserve">Measurement Pillar</x:t>
        </x:is>
      </x:c>
      <x:c r="H1" s="7" t="inlineStr">
        <x:is>
          <x:t xml:space="preserve">Partner Name</x:t>
        </x:is>
      </x:c>
      <x:c r="I1" s="7" t="inlineStr">
        <x:is>
          <x:t xml:space="preserve">Intergenerational?</x:t>
        </x:is>
      </x:c>
      <x:c r="J1" s="7" t="inlineStr">
        <x:is>
          <x:t xml:space="preserve">Hands-on / Interactive?</x:t>
        </x:is>
      </x:c>
      <x:c r="K1" s="7" t="inlineStr">
        <x:is>
          <x:t xml:space="preserve">Foundational Skills?</x:t>
        </x:is>
      </x:c>
      <x:c r="L1" s="7" t="inlineStr">
        <x:is>
          <x:t xml:space="preserve">Career / Workforce?</x:t>
        </x:is>
      </x:c>
      <x:c r="M1" s="7" t="inlineStr">
        <x:is>
          <x:t xml:space="preserve">Sessions Offered</x:t>
        </x:is>
      </x:c>
      <x:c r="N1" s="7" t="inlineStr">
        <x:is>
          <x:t xml:space="preserve">Attendance</x:t>
        </x:is>
      </x:c>
      <x:c r="O1" s="7" t="inlineStr">
        <x:is>
          <x:t xml:space="preserve">Unique Learners</x:t>
        </x:is>
      </x:c>
      <x:c r="P1" s="7" t="inlineStr">
        <x:is>
          <x:t xml:space="preserve">Completions</x:t>
        </x:is>
      </x:c>
      <x:c r="Q1" s="7" t="inlineStr">
        <x:is>
          <x:t xml:space="preserve">Avg Satisfaction</x:t>
        </x:is>
      </x:c>
      <x:c r="R1" s="7" t="inlineStr">
        <x:is>
          <x:t xml:space="preserve">% Reporting Confidence Gain</x:t>
        </x:is>
      </x:c>
      <x:c r="S1" s="7" t="inlineStr">
        <x:is>
          <x:t xml:space="preserve">Referrals Made</x:t>
        </x:is>
      </x:c>
      <x:c r="T1" s="7" t="inlineStr">
        <x:is>
          <x:t xml:space="preserve">Materials / Resource Uses</x:t>
        </x:is>
      </x:c>
      <x:c r="U1" s="7" t="inlineStr">
        <x:is>
          <x:t xml:space="preserve">Notes</x:t>
        </x:is>
      </x:c>
    </x:row>
  </x:sheetData>
  <x:dataValidations count="5">
    <x:dataValidation type="list" allowBlank="1" showDropDown="0" showInputMessage="0" showErrorMessage="0" sqref="F2:F201">
      <x:formula1>=Lookups!$A$1:$A$3</x:formula1>
    </x:dataValidation>
    <x:dataValidation type="list" allowBlank="1" showDropDown="0" showInputMessage="0" showErrorMessage="0" sqref="I2:K201 L2:L201">
      <x:formula1>=Lookups!$C$1:$C$2</x:formula1>
    </x:dataValidation>
    <x:dataValidation type="list" allowBlank="1" showDropDown="0" showInputMessage="0" showErrorMessage="0" sqref="E2:E201">
      <x:formula1>=Lookups!$D$1:$D$6</x:formula1>
    </x:dataValidation>
    <x:dataValidation type="list" allowBlank="1" showDropDown="0" showInputMessage="0" showErrorMessage="0" sqref="D2:D201">
      <x:formula1>=Lookups!$E$1:$E$7</x:formula1>
    </x:dataValidation>
    <x:dataValidation type="list" allowBlank="1" showDropDown="0" showInputMessage="0" showErrorMessage="0" sqref="G2:G201">
      <x:formula1>=Lookups!$B$1:$B$5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44311a7d9e472b"/>
  </x:tableParts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Goal 1</x:t>
        </x:is>
      </x:c>
      <x:c r="B1" t="inlineStr">
        <x:is>
          <x:t xml:space="preserve">Access to Learning Opportunities</x:t>
        </x:is>
      </x:c>
      <x:c r="C1" t="inlineStr">
        <x:is>
          <x:t xml:space="preserve">Yes</x:t>
        </x:is>
      </x:c>
      <x:c r="D1" t="inlineStr">
        <x:is>
          <x:t xml:space="preserve">Early Childhood</x:t>
        </x:is>
      </x:c>
      <x:c r="E1" t="inlineStr">
        <x:is>
          <x:t xml:space="preserve">Program</x:t>
        </x:is>
      </x:c>
      <x:c r="F1" t="inlineStr">
        <x:is>
          <x:t xml:space="preserve">Monthly</x:t>
        </x:is>
      </x:c>
      <x:c r="G1" t="inlineStr">
        <x:is>
          <x:t xml:space="preserve">Board</x:t>
        </x:is>
      </x:c>
    </x:row>
    <x:row r="2">
      <x:c r="A2" t="inlineStr">
        <x:is>
          <x:t xml:space="preserve">Goal 2</x:t>
        </x:is>
      </x:c>
      <x:c r="B2" t="inlineStr">
        <x:is>
          <x:t xml:space="preserve">Foundational Skills Development</x:t>
        </x:is>
      </x:c>
      <x:c r="C2" t="inlineStr">
        <x:is>
          <x:t xml:space="preserve">No</x:t>
        </x:is>
      </x:c>
      <x:c r="D2" t="inlineStr">
        <x:is>
          <x:t xml:space="preserve">Youth</x:t>
        </x:is>
      </x:c>
      <x:c r="E2" t="inlineStr">
        <x:is>
          <x:t xml:space="preserve">Class Series</x:t>
        </x:is>
      </x:c>
      <x:c r="F2" t="inlineStr">
        <x:is>
          <x:t xml:space="preserve">Quarterly</x:t>
        </x:is>
      </x:c>
      <x:c r="G2" t="inlineStr">
        <x:is>
          <x:t xml:space="preserve">Management</x:t>
        </x:is>
      </x:c>
    </x:row>
    <x:row r="3">
      <x:c r="A3" t="inlineStr">
        <x:is>
          <x:t xml:space="preserve">Goal 3</x:t>
        </x:is>
      </x:c>
      <x:c r="B3" t="inlineStr">
        <x:is>
          <x:t xml:space="preserve">Personal Growth, Career, and Life Readiness</x:t>
        </x:is>
      </x:c>
      <x:c r="D3" t="inlineStr">
        <x:is>
          <x:t xml:space="preserve">Teen</x:t>
        </x:is>
      </x:c>
      <x:c r="E3" t="inlineStr">
        <x:is>
          <x:t xml:space="preserve">Workshop</x:t>
        </x:is>
      </x:c>
      <x:c r="F3" t="inlineStr">
        <x:is>
          <x:t xml:space="preserve">Annually</x:t>
        </x:is>
      </x:c>
      <x:c r="G3" t="inlineStr">
        <x:is>
          <x:t xml:space="preserve">Board + Management</x:t>
        </x:is>
      </x:c>
    </x:row>
    <x:row r="4">
      <x:c r="B4" t="inlineStr">
        <x:is>
          <x:t xml:space="preserve">Joyful, Intergenerational, and Engaging Learning</x:t>
        </x:is>
      </x:c>
      <x:c r="D4" t="inlineStr">
        <x:is>
          <x:t xml:space="preserve">Adult</x:t>
        </x:is>
      </x:c>
      <x:c r="E4" t="inlineStr">
        <x:is>
          <x:t xml:space="preserve">Drop-in Help</x:t>
        </x:is>
      </x:c>
    </x:row>
    <x:row r="5">
      <x:c r="B5" t="inlineStr">
        <x:is>
          <x:t xml:space="preserve">Learner Support Systems, Partnerships, and Learning Resources</x:t>
        </x:is>
      </x:c>
      <x:c r="D5" t="inlineStr">
        <x:is>
          <x:t xml:space="preserve">Older Adult</x:t>
        </x:is>
      </x:c>
      <x:c r="E5" t="inlineStr">
        <x:is>
          <x:t xml:space="preserve">Outreach</x:t>
        </x:is>
      </x:c>
    </x:row>
    <x:row r="6">
      <x:c r="D6" t="inlineStr">
        <x:is>
          <x:t xml:space="preserve">Mixed / All Ages</x:t>
        </x:is>
      </x:c>
      <x:c r="E6" t="inlineStr">
        <x:is>
          <x:t xml:space="preserve">Collection / Resource Use</x:t>
        </x:is>
      </x:c>
    </x:row>
    <x:row r="7">
      <x:c r="E7" t="inlineStr">
        <x:is>
          <x:t xml:space="preserve">Partner Service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6" customWidth="1"/>
  </x:cols>
  <x:sheetData>
    <x:row r="1">
      <x:c r="A1" s="8" t="inlineStr">
        <x:is>
          <x:t xml:space="preserve">Supporting All Learners — Quarterly Scorecard</x:t>
        </x:is>
      </x:c>
    </x:row>
    <x:row r="3">
      <x:c r="A3" s="9" t="inlineStr">
        <x:is>
          <x:t xml:space="preserve">Board KPI</x:t>
        </x:is>
      </x:c>
      <x:c r="B3" s="9" t="inlineStr">
        <x:is>
          <x:t xml:space="preserve">FY Target</x:t>
        </x:is>
      </x:c>
      <x:c r="C3" s="9" t="inlineStr">
        <x:is>
          <x:t xml:space="preserve">Q1 Actual</x:t>
        </x:is>
      </x:c>
      <x:c r="D3" s="9" t="inlineStr">
        <x:is>
          <x:t xml:space="preserve">Q2 Actual</x:t>
        </x:is>
      </x:c>
      <x:c r="E3" s="9" t="inlineStr">
        <x:is>
          <x:t xml:space="preserve">Q3 Actual</x:t>
        </x:is>
      </x:c>
      <x:c r="F3" s="9" t="inlineStr">
        <x:is>
          <x:t xml:space="preserve">Q4 Actual</x:t>
        </x:is>
      </x:c>
      <x:c r="G3" s="9" t="inlineStr">
        <x:is>
          <x:t xml:space="preserve">Annual Actual</x:t>
        </x:is>
      </x:c>
      <x:c r="H3" s="9" t="inlineStr">
        <x:is>
          <x:t xml:space="preserve">Annual Status</x:t>
        </x:is>
      </x:c>
    </x:row>
    <x:row r="4" ht="24" customHeight="1">
      <x:c r="A4" s="16" t="inlineStr">
        <x:is>
          <x:t xml:space="preserve">Total participation in learning programs</x:t>
        </x:is>
      </x:c>
      <x:c r="B4" s="17">
        <x:f>INDEX('KPI Tracker'!$L$2:$L$29,MATCH("SAL-02",'KPI Tracker'!$A$2:$A$29,0))</x:f>
      </x:c>
      <x:c r="C4" s="17">
        <x:f>INDEX('KPI Tracker'!$M$2:$M$29,MATCH("SAL-02",'KPI Tracker'!$A$2:$A$29,0))</x:f>
      </x:c>
      <x:c r="D4" s="17">
        <x:f>INDEX('KPI Tracker'!$O$2:$O$29,MATCH("SAL-02",'KPI Tracker'!$A$2:$A$29,0))</x:f>
      </x:c>
      <x:c r="E4" s="17">
        <x:f>INDEX('KPI Tracker'!$Q$2:$Q$29,MATCH("SAL-02",'KPI Tracker'!$A$2:$A$29,0))</x:f>
      </x:c>
      <x:c r="F4" s="17">
        <x:f>INDEX('KPI Tracker'!$S$2:$S$29,MATCH("SAL-02",'KPI Tracker'!$A$2:$A$29,0))</x:f>
      </x:c>
      <x:c r="G4" s="17">
        <x:f>INDEX('KPI Tracker'!$U$2:$U$29,MATCH("SAL-02",'KPI Tracker'!$A$2:$A$29,0))</x:f>
      </x:c>
      <x:c r="H4" s="16">
        <x:f>INDEX('KPI Tracker'!$V$2:$V$29,MATCH("SAL-02",'KPI Tracker'!$A$2:$A$29,0))</x:f>
      </x:c>
    </x:row>
    <x:row r="5" ht="24" customHeight="1">
      <x:c r="A5" s="16" t="inlineStr">
        <x:is>
          <x:t xml:space="preserve">Unique learners served</x:t>
        </x:is>
      </x:c>
      <x:c r="B5" s="17">
        <x:f>INDEX('KPI Tracker'!$L$2:$L$29,MATCH("SAL-03",'KPI Tracker'!$A$2:$A$29,0))</x:f>
      </x:c>
      <x:c r="C5" s="17">
        <x:f>INDEX('KPI Tracker'!$M$2:$M$29,MATCH("SAL-03",'KPI Tracker'!$A$2:$A$29,0))</x:f>
      </x:c>
      <x:c r="D5" s="17">
        <x:f>INDEX('KPI Tracker'!$O$2:$O$29,MATCH("SAL-03",'KPI Tracker'!$A$2:$A$29,0))</x:f>
      </x:c>
      <x:c r="E5" s="17">
        <x:f>INDEX('KPI Tracker'!$Q$2:$Q$29,MATCH("SAL-03",'KPI Tracker'!$A$2:$A$29,0))</x:f>
      </x:c>
      <x:c r="F5" s="17">
        <x:f>INDEX('KPI Tracker'!$S$2:$S$29,MATCH("SAL-03",'KPI Tracker'!$A$2:$A$29,0))</x:f>
      </x:c>
      <x:c r="G5" s="17">
        <x:f>INDEX('KPI Tracker'!$U$2:$U$29,MATCH("SAL-03",'KPI Tracker'!$A$2:$A$29,0))</x:f>
      </x:c>
      <x:c r="H5" s="16">
        <x:f>INDEX('KPI Tracker'!$V$2:$V$29,MATCH("SAL-03",'KPI Tracker'!$A$2:$A$29,0))</x:f>
      </x:c>
    </x:row>
    <x:row r="6" ht="24" customHeight="1">
      <x:c r="A6" s="16" t="inlineStr">
        <x:is>
          <x:t xml:space="preserve">Early literacy participation</x:t>
        </x:is>
      </x:c>
      <x:c r="B6" s="17">
        <x:f>INDEX('KPI Tracker'!$L$2:$L$29,MATCH("SAL-19",'KPI Tracker'!$A$2:$A$29,0))</x:f>
      </x:c>
      <x:c r="C6" s="17">
        <x:f>INDEX('KPI Tracker'!$M$2:$M$29,MATCH("SAL-19",'KPI Tracker'!$A$2:$A$29,0))</x:f>
      </x:c>
      <x:c r="D6" s="17">
        <x:f>INDEX('KPI Tracker'!$O$2:$O$29,MATCH("SAL-19",'KPI Tracker'!$A$2:$A$29,0))</x:f>
      </x:c>
      <x:c r="E6" s="17">
        <x:f>INDEX('KPI Tracker'!$Q$2:$Q$29,MATCH("SAL-19",'KPI Tracker'!$A$2:$A$29,0))</x:f>
      </x:c>
      <x:c r="F6" s="17">
        <x:f>INDEX('KPI Tracker'!$S$2:$S$29,MATCH("SAL-19",'KPI Tracker'!$A$2:$A$29,0))</x:f>
      </x:c>
      <x:c r="G6" s="17">
        <x:f>INDEX('KPI Tracker'!$U$2:$U$29,MATCH("SAL-19",'KPI Tracker'!$A$2:$A$29,0))</x:f>
      </x:c>
      <x:c r="H6" s="16">
        <x:f>INDEX('KPI Tracker'!$V$2:$V$29,MATCH("SAL-19",'KPI Tracker'!$A$2:$A$29,0))</x:f>
      </x:c>
    </x:row>
    <x:row r="7" ht="24" customHeight="1">
      <x:c r="A7" s="16" t="inlineStr">
        <x:is>
          <x:t xml:space="preserve">Digital literacy / technology skills participation</x:t>
        </x:is>
      </x:c>
      <x:c r="B7" s="17">
        <x:f>INDEX('KPI Tracker'!$L$2:$L$29,MATCH("SAL-21",'KPI Tracker'!$A$2:$A$29,0))</x:f>
      </x:c>
      <x:c r="C7" s="17">
        <x:f>INDEX('KPI Tracker'!$M$2:$M$29,MATCH("SAL-21",'KPI Tracker'!$A$2:$A$29,0))</x:f>
      </x:c>
      <x:c r="D7" s="17">
        <x:f>INDEX('KPI Tracker'!$O$2:$O$29,MATCH("SAL-21",'KPI Tracker'!$A$2:$A$29,0))</x:f>
      </x:c>
      <x:c r="E7" s="17">
        <x:f>INDEX('KPI Tracker'!$Q$2:$Q$29,MATCH("SAL-21",'KPI Tracker'!$A$2:$A$29,0))</x:f>
      </x:c>
      <x:c r="F7" s="17">
        <x:f>INDEX('KPI Tracker'!$S$2:$S$29,MATCH("SAL-21",'KPI Tracker'!$A$2:$A$29,0))</x:f>
      </x:c>
      <x:c r="G7" s="17">
        <x:f>INDEX('KPI Tracker'!$U$2:$U$29,MATCH("SAL-21",'KPI Tracker'!$A$2:$A$29,0))</x:f>
      </x:c>
      <x:c r="H7" s="16">
        <x:f>INDEX('KPI Tracker'!$V$2:$V$29,MATCH("SAL-21",'KPI Tracker'!$A$2:$A$29,0))</x:f>
      </x:c>
    </x:row>
    <x:row r="8" ht="24" customHeight="1">
      <x:c r="A8" s="16" t="inlineStr">
        <x:is>
          <x:t xml:space="preserve">Participation in college/career/workforce readiness programs</x:t>
        </x:is>
      </x:c>
      <x:c r="B8" s="17">
        <x:f>INDEX('KPI Tracker'!$L$2:$L$29,MATCH("SAL-05",'KPI Tracker'!$A$2:$A$29,0))</x:f>
      </x:c>
      <x:c r="C8" s="17">
        <x:f>INDEX('KPI Tracker'!$M$2:$M$29,MATCH("SAL-05",'KPI Tracker'!$A$2:$A$29,0))</x:f>
      </x:c>
      <x:c r="D8" s="17">
        <x:f>INDEX('KPI Tracker'!$O$2:$O$29,MATCH("SAL-05",'KPI Tracker'!$A$2:$A$29,0))</x:f>
      </x:c>
      <x:c r="E8" s="17">
        <x:f>INDEX('KPI Tracker'!$Q$2:$Q$29,MATCH("SAL-05",'KPI Tracker'!$A$2:$A$29,0))</x:f>
      </x:c>
      <x:c r="F8" s="17">
        <x:f>INDEX('KPI Tracker'!$S$2:$S$29,MATCH("SAL-05",'KPI Tracker'!$A$2:$A$29,0))</x:f>
      </x:c>
      <x:c r="G8" s="17">
        <x:f>INDEX('KPI Tracker'!$U$2:$U$29,MATCH("SAL-05",'KPI Tracker'!$A$2:$A$29,0))</x:f>
      </x:c>
      <x:c r="H8" s="16">
        <x:f>INDEX('KPI Tracker'!$V$2:$V$29,MATCH("SAL-05",'KPI Tracker'!$A$2:$A$29,0))</x:f>
      </x:c>
    </x:row>
    <x:row r="9" ht="24" customHeight="1">
      <x:c r="A9" s="16" t="inlineStr">
        <x:is>
          <x:t xml:space="preserve">Participant satisfaction score</x:t>
        </x:is>
      </x:c>
      <x:c r="B9" s="17">
        <x:f>INDEX('KPI Tracker'!$L$2:$L$29,MATCH("SAL-10",'KPI Tracker'!$A$2:$A$29,0))</x:f>
      </x:c>
      <x:c r="C9" s="17">
        <x:f>INDEX('KPI Tracker'!$M$2:$M$29,MATCH("SAL-10",'KPI Tracker'!$A$2:$A$29,0))</x:f>
      </x:c>
      <x:c r="D9" s="17">
        <x:f>INDEX('KPI Tracker'!$O$2:$O$29,MATCH("SAL-10",'KPI Tracker'!$A$2:$A$29,0))</x:f>
      </x:c>
      <x:c r="E9" s="17">
        <x:f>INDEX('KPI Tracker'!$Q$2:$Q$29,MATCH("SAL-10",'KPI Tracker'!$A$2:$A$29,0))</x:f>
      </x:c>
      <x:c r="F9" s="17">
        <x:f>INDEX('KPI Tracker'!$S$2:$S$29,MATCH("SAL-10",'KPI Tracker'!$A$2:$A$29,0))</x:f>
      </x:c>
      <x:c r="G9" s="17">
        <x:f>INDEX('KPI Tracker'!$U$2:$U$29,MATCH("SAL-10",'KPI Tracker'!$A$2:$A$29,0))</x:f>
      </x:c>
      <x:c r="H9" s="16">
        <x:f>INDEX('KPI Tracker'!$V$2:$V$29,MATCH("SAL-10",'KPI Tracker'!$A$2:$A$29,0))</x:f>
      </x:c>
    </x:row>
    <x:row r="10" ht="24" customHeight="1">
      <x:c r="A10" s="16" t="inlineStr">
        <x:is>
          <x:t xml:space="preserve">% reporting improved confidence in a core skill</x:t>
        </x:is>
      </x:c>
      <x:c r="B10" s="17">
        <x:f>INDEX('KPI Tracker'!$L$2:$L$29,MATCH("SAL-22",'KPI Tracker'!$A$2:$A$29,0))</x:f>
      </x:c>
      <x:c r="C10" s="17">
        <x:f>INDEX('KPI Tracker'!$M$2:$M$29,MATCH("SAL-22",'KPI Tracker'!$A$2:$A$29,0))</x:f>
      </x:c>
      <x:c r="D10" s="17">
        <x:f>INDEX('KPI Tracker'!$O$2:$O$29,MATCH("SAL-22",'KPI Tracker'!$A$2:$A$29,0))</x:f>
      </x:c>
      <x:c r="E10" s="17">
        <x:f>INDEX('KPI Tracker'!$Q$2:$Q$29,MATCH("SAL-22",'KPI Tracker'!$A$2:$A$29,0))</x:f>
      </x:c>
      <x:c r="F10" s="17">
        <x:f>INDEX('KPI Tracker'!$S$2:$S$29,MATCH("SAL-22",'KPI Tracker'!$A$2:$A$29,0))</x:f>
      </x:c>
      <x:c r="G10" s="17">
        <x:f>INDEX('KPI Tracker'!$U$2:$U$29,MATCH("SAL-22",'KPI Tracker'!$A$2:$A$29,0))</x:f>
      </x:c>
      <x:c r="H10" s="16">
        <x:f>INDEX('KPI Tracker'!$V$2:$V$29,MATCH("SAL-22",'KPI Tracker'!$A$2:$A$29,0))</x:f>
      </x:c>
    </x:row>
    <x:row r="11" ht="24" customHeight="1">
      <x:c r="A11" s="16" t="inlineStr">
        <x:is>
          <x:t xml:space="preserve">Number of active learning partnerships</x:t>
        </x:is>
      </x:c>
      <x:c r="B11" s="17">
        <x:f>INDEX('KPI Tracker'!$L$2:$L$29,MATCH("SAL-16",'KPI Tracker'!$A$2:$A$29,0))</x:f>
      </x:c>
      <x:c r="C11" s="17">
        <x:f>INDEX('KPI Tracker'!$M$2:$M$29,MATCH("SAL-16",'KPI Tracker'!$A$2:$A$29,0))</x:f>
      </x:c>
      <x:c r="D11" s="17">
        <x:f>INDEX('KPI Tracker'!$O$2:$O$29,MATCH("SAL-16",'KPI Tracker'!$A$2:$A$29,0))</x:f>
      </x:c>
      <x:c r="E11" s="17">
        <x:f>INDEX('KPI Tracker'!$Q$2:$Q$29,MATCH("SAL-16",'KPI Tracker'!$A$2:$A$29,0))</x:f>
      </x:c>
      <x:c r="F11" s="17">
        <x:f>INDEX('KPI Tracker'!$S$2:$S$29,MATCH("SAL-16",'KPI Tracker'!$A$2:$A$29,0))</x:f>
      </x:c>
      <x:c r="G11" s="17">
        <x:f>INDEX('KPI Tracker'!$U$2:$U$29,MATCH("SAL-16",'KPI Tracker'!$A$2:$A$29,0))</x:f>
      </x:c>
      <x:c r="H11" s="16">
        <x:f>INDEX('KPI Tracker'!$V$2:$V$29,MATCH("SAL-16",'KPI Tracker'!$A$2:$A$29,0))</x:f>
      </x:c>
    </x:row>
    <x:row r="14">
      <x:c r="A14" s="11" t="inlineStr">
        <x:is>
          <x:t xml:space="preserve">How to use:</x:t>
        </x:is>
      </x:c>
    </x:row>
    <x:row r="15">
      <x:c r="A15" t="inlineStr">
        <x:is>
          <x:t xml:space="preserve">1) Enter Baseline, FY Target, and quarterly actuals on the KPI Tracker sheet.</x:t>
        </x:is>
      </x:c>
    </x:row>
    <x:row r="16">
      <x:c r="A16" t="inlineStr">
        <x:is>
          <x:t xml:space="preserve">2) Status fields will populate automatically based on pace to target.</x:t>
        </x:is>
      </x:c>
    </x:row>
    <x:row r="17">
      <x:c r="A17" t="inlineStr">
        <x:is>
          <x:t xml:space="preserve">3) Use Monthly Data Entry for operational collection; aggregate to KPI Tracker quarterly.</x:t>
        </x:is>
      </x:c>
    </x:row>
    <x:row r="18">
      <x:c r="A18" t="inlineStr">
        <x:is>
          <x:t xml:space="preserve">4) Present this sheet as the board-facing summary.</x:t>
        </x:is>
      </x:c>
    </x:row>
  </x:sheetData>
  <x:mergeCells>
    <x:mergeCell ref="A1:H1"/>
  </x:mergeCells>
  <x:conditionalFormatting sqref="H4:H11">
    <x:cfRule type="expression" dxfId="0" priority="1">
      <x:formula>H4="On Track"</x:formula>
    </x:cfRule>
    <x:cfRule type="expression" dxfId="1" priority="2">
      <x:formula>H4="Watch"</x:formula>
    </x:cfRule>
    <x:cfRule type="expression" dxfId="2" priority="3">
      <x:formula>H4="Needs Attention"</x:formula>
    </x:cfRule>
  </x:conditionalFormatting>
  <x:pageMargins left="0.7" right="0.7" top="0.75" bottom="0.75" header="0.3" footer="0.3"/>
</x:worksheet>
</file>